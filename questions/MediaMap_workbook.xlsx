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D WIZ1" sheetId="3" state="visible" r:id="rId3"/>
    <sheet xmlns:r="http://schemas.openxmlformats.org/officeDocument/2006/relationships" name="SD WIZ2" sheetId="4" state="visible" r:id="rId4"/>
    <sheet xmlns:r="http://schemas.openxmlformats.org/officeDocument/2006/relationships" name="Code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F5496"/>
      <sz val="11"/>
    </font>
    <font>
      <color rgb="00404040"/>
      <sz val="10"/>
    </font>
    <font>
      <b val="1"/>
      <color rgb="001F3864"/>
    </font>
    <font>
      <sz val="11"/>
    </font>
    <font>
      <name val="Consolas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F9FA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9BC2E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4" fillId="5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applyAlignment="1" applyProtection="1" pivotButton="0" quotePrefix="0" xfId="0">
      <alignment horizontal="left"/>
      <protection locked="0" hidden="0"/>
    </xf>
    <xf numFmtId="0" fontId="5" fillId="7" borderId="1" applyAlignment="1" applyProtection="1" pivotButton="0" quotePrefix="0" xfId="0">
      <alignment horizontal="center" vertical="center"/>
      <protection locked="0" hidden="0"/>
    </xf>
    <xf numFmtId="0" fontId="4" fillId="8" borderId="0" pivotButton="0" quotePrefix="0" xfId="0"/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6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Vision Artiste - MedeaWiz media map</t>
        </is>
      </c>
    </row>
    <row r="3">
      <c r="A3" s="2" t="inlineStr">
        <is>
          <t>Two MedeaWiz Sprite players:</t>
        </is>
      </c>
    </row>
    <row r="4">
      <c r="A4" s="2" t="inlineStr">
        <is>
          <t xml:space="preserve">  WIZ1 - portrait display (1080 x 1920)</t>
        </is>
      </c>
    </row>
    <row r="5">
      <c r="A5" s="2" t="inlineStr">
        <is>
          <t xml:space="preserve">  WIZ2 - landscape display (1920 x 1080)</t>
        </is>
      </c>
    </row>
    <row r="6">
      <c r="A6" s="2" t="inlineStr"/>
    </row>
    <row r="7">
      <c r="A7" s="2" t="inlineStr">
        <is>
          <t>For each quiz step (Questions sheet):</t>
        </is>
      </c>
    </row>
    <row r="8">
      <c r="A8" s="2" t="inlineStr">
        <is>
          <t xml:space="preserve">  - Pick where the QUESTION TEXT plays: Portrait or Landscape (dropdown).</t>
        </is>
      </c>
    </row>
    <row r="9">
      <c r="A9" s="2" t="inlineStr">
        <is>
          <t xml:space="preserve">  - The ARTWORK always plays on the other screen (complementary).</t>
        </is>
      </c>
    </row>
    <row r="10">
      <c r="A10" s="2" t="inlineStr">
        <is>
          <t xml:space="preserve">  - Export video with the matching aspect ratio on each SD card.</t>
        </is>
      </c>
    </row>
    <row r="11">
      <c r="A11" s="2" t="inlineStr"/>
    </row>
    <row r="12">
      <c r="A12" s="2" t="inlineStr">
        <is>
          <t>SD file names: 000.mp4, 001.mp4, ... (3 digits + .mp4).</t>
        </is>
      </c>
    </row>
    <row r="13">
      <c r="A13" s="2" t="inlineStr">
        <is>
          <t>Index = file number sent to the Sprite.</t>
        </is>
      </c>
    </row>
    <row r="14">
      <c r="A14" s="2" t="inlineStr"/>
    </row>
    <row r="15">
      <c r="A15" s="2" t="inlineStr">
        <is>
          <t>Flow: intro (text + art) -&gt; quiz steps -&gt; profile on WIZ1.</t>
        </is>
      </c>
    </row>
    <row r="16">
      <c r="A16" s="2" t="inlineStr">
        <is>
          <t>Tie-break order: Emotions, Conteur, Matiere, Realiste.</t>
        </is>
      </c>
    </row>
    <row r="17">
      <c r="A17" s="2" t="inlineStr"/>
    </row>
    <row r="18">
      <c r="A18" s="2" t="inlineStr">
        <is>
          <t>Add a question: on Questions sheet, fill the next empty row (Artwork column).</t>
        </is>
      </c>
    </row>
    <row r="19">
      <c r="A19" s="2" t="inlineStr">
        <is>
          <t xml:space="preserve">  Step number updates automatically. Copy dropdowns from the row above if needed.</t>
        </is>
      </c>
    </row>
    <row r="20">
      <c r="A20" s="2" t="inlineStr">
        <is>
          <t xml:space="preserve">  Then copy CodeGen column A into QuestionnaireConfig.h (NUM_QUESTIONS + QUESTIONS[]).</t>
        </is>
      </c>
    </row>
    <row r="21">
      <c r="A21" s="2" t="inlineStr">
        <is>
          <t xml:space="preserve">  Skip blank lines at the bottom of the array. Re-run this script to refresh SD WIZ1/WIZ2.</t>
        </is>
      </c>
    </row>
    <row r="22">
      <c r="A22" s="2" t="inlineStr"/>
    </row>
    <row r="23">
      <c r="A23" s="2" t="inlineStr">
        <is>
          <t>Sheets: Questions | SD WIZ1 | SD WIZ2 | CodeGen</t>
        </is>
      </c>
    </row>
    <row r="24">
      <c r="A24" s="2" t="inlineStr"/>
    </row>
    <row r="25">
      <c r="A25" s="2" t="inlineStr">
        <is>
          <t>If CodeGen shows Err:508 in LibreOffice, run: python scripts/generate_media_workbook.py --emit-cpp</t>
        </is>
      </c>
    </row>
    <row r="26">
      <c r="A26" s="2" t="n"/>
    </row>
    <row r="27">
      <c r="A27" s="3" t="inlineStr">
        <is>
          <t>Firmware limits</t>
        </is>
      </c>
    </row>
    <row r="28">
      <c r="A28" t="inlineStr">
        <is>
          <t>Files per language (question text)</t>
        </is>
      </c>
      <c r="B28" t="inlineStr">
        <is>
          <t>32</t>
        </is>
      </c>
    </row>
    <row r="29">
      <c r="A29" t="inlineStr">
        <is>
          <t>Languages</t>
        </is>
      </c>
      <c r="B29" t="inlineStr">
        <is>
          <t>4</t>
        </is>
      </c>
    </row>
    <row r="30">
      <c r="A30" t="inlineStr">
        <is>
          <t>Max files per SD card</t>
        </is>
      </c>
      <c r="B30" t="inlineStr">
        <is>
          <t>200</t>
        </is>
      </c>
    </row>
    <row r="31">
      <c r="A31" t="inlineStr">
        <is>
          <t>Question rows in workbook</t>
        </is>
      </c>
      <c r="B31" t="inlineStr">
        <is>
          <t>24</t>
        </is>
      </c>
    </row>
    <row r="32">
      <c r="A32" t="inlineStr">
        <is>
          <t>Quiz steps (initial)</t>
        </is>
      </c>
      <c r="B32" t="inlineStr">
        <is>
          <t>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V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hidden="1" width="4" customWidth="1" min="5" max="5"/>
    <col hidden="1" width="4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2" customWidth="1" min="14" max="14"/>
    <col width="14" customWidth="1" min="15" max="15"/>
    <col width="12" customWidth="1" min="16" max="16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>
      <c r="A1" s="1" t="inlineStr">
        <is>
          <t>Quiz steps - screens and profiles</t>
        </is>
      </c>
    </row>
    <row r="2">
      <c r="A2" s="4" t="inlineStr">
        <is>
          <t>Add a step: fill the next empty row (column Artwork). Rows 4-27 are ready (max 24 steps). Question plays on = dropdown (Portrait / Landscape). Artwork plays on is automatic.</t>
        </is>
      </c>
    </row>
    <row r="3">
      <c r="A3" s="5" t="inlineStr">
        <is>
          <t>Step</t>
        </is>
      </c>
      <c r="B3" s="6" t="inlineStr">
        <is>
          <t>Artwork</t>
        </is>
      </c>
      <c r="C3" s="6" t="inlineStr">
        <is>
          <t>Question plays on</t>
        </is>
      </c>
      <c r="D3" s="5" t="inlineStr">
        <is>
          <t>Artwork plays on</t>
        </is>
      </c>
      <c r="G3" s="6" t="inlineStr">
        <is>
          <t>B1</t>
        </is>
      </c>
      <c r="H3" s="6" t="inlineStr">
        <is>
          <t>B2</t>
        </is>
      </c>
      <c r="I3" s="6" t="inlineStr">
        <is>
          <t>B3</t>
        </is>
      </c>
      <c r="J3" s="6" t="inlineStr">
        <is>
          <t>B4</t>
        </is>
      </c>
      <c r="K3" s="5" t="inlineStr">
        <is>
          <t>Text player</t>
        </is>
      </c>
      <c r="L3" s="5" t="inlineStr">
        <is>
          <t>Art player</t>
        </is>
      </c>
      <c r="M3" s="5" t="inlineStr">
        <is>
          <t>Text aspect</t>
        </is>
      </c>
      <c r="N3" s="5" t="inlineStr">
        <is>
          <t>Art aspect</t>
        </is>
      </c>
      <c r="O3" s="5" t="inlineStr">
        <is>
          <t>Text file (FR)</t>
        </is>
      </c>
      <c r="P3" s="5" t="inlineStr">
        <is>
          <t>Art file</t>
        </is>
      </c>
    </row>
    <row r="4">
      <c r="A4" s="7">
        <f>IF(B4="","",ROW()-3)</f>
        <v/>
      </c>
      <c r="B4" s="8" t="inlineStr">
        <is>
          <t>Caravaggio - Supper at Emmaus</t>
        </is>
      </c>
      <c r="C4" s="9" t="inlineStr">
        <is>
          <t>Landscape</t>
        </is>
      </c>
      <c r="D4" s="7">
        <f>IF(C4="Portrait","Landscape","Portrait")</f>
        <v/>
      </c>
      <c r="E4" s="7">
        <f>IF(B4="","",A4)</f>
        <v/>
      </c>
      <c r="F4" s="7">
        <f>E4+0</f>
        <v/>
      </c>
      <c r="G4" s="9" t="inlineStr">
        <is>
          <t>Emotions</t>
        </is>
      </c>
      <c r="H4" s="9" t="inlineStr">
        <is>
          <t>Realiste</t>
        </is>
      </c>
      <c r="I4" s="9" t="inlineStr">
        <is>
          <t>Matiere</t>
        </is>
      </c>
      <c r="J4" s="9" t="inlineStr">
        <is>
          <t>Conteur</t>
        </is>
      </c>
      <c r="K4" s="7">
        <f>IF(C4="Portrait","WIZ1","WIZ2")</f>
        <v/>
      </c>
      <c r="L4" s="7">
        <f>IF(C4="Portrait","WIZ2","WIZ1")</f>
        <v/>
      </c>
      <c r="M4" s="7">
        <f>IF(C4="Portrait","1080x1920","1920x1080")</f>
        <v/>
      </c>
      <c r="N4" s="7">
        <f>IF(C4="Portrait","1920x1080","1080x1920")</f>
        <v/>
      </c>
      <c r="O4" s="7">
        <f>IF(B4="","",TEXT(32+E4,"000")&amp;".mp4")</f>
        <v/>
      </c>
      <c r="P4" s="7">
        <f>IF(B4="","",TEXT(F4,"000")&amp;".mp4")</f>
        <v/>
      </c>
      <c r="R4">
        <f>IF(G4="","",IF(G4="Emotions","CAT_EMOTIONS",IF(G4="Realiste","CAT_REALISTE",IF(G4="Matiere","CAT_MATIERE",IF(G4="Conteur","CAT_CONTEUR","CAT_EMOTIONS")))))</f>
        <v/>
      </c>
      <c r="S4">
        <f>IF(H4="","",IF(H4="Emotions","CAT_EMOTIONS",IF(H4="Realiste","CAT_REALISTE",IF(H4="Matiere","CAT_MATIERE",IF(H4="Conteur","CAT_CONTEUR","CAT_EMOTIONS")))))</f>
        <v/>
      </c>
      <c r="T4">
        <f>IF(I4="","",IF(I4="Emotions","CAT_EMOTIONS",IF(I4="Realiste","CAT_REALISTE",IF(I4="Matiere","CAT_MATIERE",IF(I4="Conteur","CAT_CONTEUR","CAT_EMOTIONS")))))</f>
        <v/>
      </c>
      <c r="U4">
        <f>IF(J4="","",IF(J4="Emotions","CAT_EMOTIONS",IF(J4="Realiste","CAT_REALISTE",IF(J4="Matiere","CAT_MATIERE",IF(J4="Conteur","CAT_CONTEUR","CAT_EMOTIONS")))))</f>
        <v/>
      </c>
      <c r="V4">
        <f>IF(B4="","","  { "&amp;E4&amp;", { "&amp;R4&amp;", "&amp;S4&amp;", "&amp;T4&amp;", "&amp;U4&amp;" }, "&amp;C4&amp;" },")</f>
        <v/>
      </c>
    </row>
    <row r="5">
      <c r="A5" s="7">
        <f>IF(B5="","",ROW()-3)</f>
        <v/>
      </c>
      <c r="B5" s="8" t="inlineStr">
        <is>
          <t>Monet - Rouen Cathedrals</t>
        </is>
      </c>
      <c r="C5" s="9" t="inlineStr">
        <is>
          <t>Portrait</t>
        </is>
      </c>
      <c r="D5" s="7">
        <f>IF(C5="Portrait","Landscape","Portrait")</f>
        <v/>
      </c>
      <c r="E5" s="7">
        <f>IF(B5="","",A5)</f>
        <v/>
      </c>
      <c r="F5" s="7">
        <f>E5+0</f>
        <v/>
      </c>
      <c r="G5" s="9" t="inlineStr">
        <is>
          <t>Conteur</t>
        </is>
      </c>
      <c r="H5" s="9" t="inlineStr">
        <is>
          <t>Realiste</t>
        </is>
      </c>
      <c r="I5" s="9" t="inlineStr">
        <is>
          <t>Matiere</t>
        </is>
      </c>
      <c r="J5" s="9" t="inlineStr">
        <is>
          <t>Emotions</t>
        </is>
      </c>
      <c r="K5" s="7">
        <f>IF(C5="Portrait","WIZ1","WIZ2")</f>
        <v/>
      </c>
      <c r="L5" s="7">
        <f>IF(C5="Portrait","WIZ2","WIZ1")</f>
        <v/>
      </c>
      <c r="M5" s="7">
        <f>IF(C5="Portrait","1080x1920","1920x1080")</f>
        <v/>
      </c>
      <c r="N5" s="7">
        <f>IF(C5="Portrait","1920x1080","1080x1920")</f>
        <v/>
      </c>
      <c r="O5" s="7">
        <f>IF(B5="","",TEXT(32+E5,"000")&amp;".mp4")</f>
        <v/>
      </c>
      <c r="P5" s="7">
        <f>IF(B5="","",TEXT(F5,"000")&amp;".mp4")</f>
        <v/>
      </c>
      <c r="R5">
        <f>IF(G5="","",IF(G5="Emotions","CAT_EMOTIONS",IF(G5="Realiste","CAT_REALISTE",IF(G5="Matiere","CAT_MATIERE",IF(G5="Conteur","CAT_CONTEUR","CAT_EMOTIONS")))))</f>
        <v/>
      </c>
      <c r="S5">
        <f>IF(H5="","",IF(H5="Emotions","CAT_EMOTIONS",IF(H5="Realiste","CAT_REALISTE",IF(H5="Matiere","CAT_MATIERE",IF(H5="Conteur","CAT_CONTEUR","CAT_EMOTIONS")))))</f>
        <v/>
      </c>
      <c r="T5">
        <f>IF(I5="","",IF(I5="Emotions","CAT_EMOTIONS",IF(I5="Realiste","CAT_REALISTE",IF(I5="Matiere","CAT_MATIERE",IF(I5="Conteur","CAT_CONTEUR","CAT_EMOTIONS")))))</f>
        <v/>
      </c>
      <c r="U5">
        <f>IF(J5="","",IF(J5="Emotions","CAT_EMOTIONS",IF(J5="Realiste","CAT_REALISTE",IF(J5="Matiere","CAT_MATIERE",IF(J5="Conteur","CAT_CONTEUR","CAT_EMOTIONS")))))</f>
        <v/>
      </c>
      <c r="V5">
        <f>IF(B5="","","  { "&amp;E5&amp;", { "&amp;R5&amp;", "&amp;S5&amp;", "&amp;T5&amp;", "&amp;U5&amp;" }, "&amp;C5&amp;" },")</f>
        <v/>
      </c>
    </row>
    <row r="6">
      <c r="A6" s="7">
        <f>IF(B6="","",ROW()-3)</f>
        <v/>
      </c>
      <c r="B6" s="8" t="inlineStr">
        <is>
          <t>Magritte - Empire of Light</t>
        </is>
      </c>
      <c r="C6" s="9" t="inlineStr">
        <is>
          <t>Portrait</t>
        </is>
      </c>
      <c r="D6" s="7">
        <f>IF(C6="Portrait","Landscape","Portrait")</f>
        <v/>
      </c>
      <c r="E6" s="7">
        <f>IF(B6="","",A6)</f>
        <v/>
      </c>
      <c r="F6" s="7">
        <f>E6+0</f>
        <v/>
      </c>
      <c r="G6" s="9" t="inlineStr">
        <is>
          <t>Emotions</t>
        </is>
      </c>
      <c r="H6" s="9" t="inlineStr">
        <is>
          <t>Realiste</t>
        </is>
      </c>
      <c r="I6" s="9" t="inlineStr">
        <is>
          <t>Matiere</t>
        </is>
      </c>
      <c r="J6" s="9" t="inlineStr">
        <is>
          <t>Conteur</t>
        </is>
      </c>
      <c r="K6" s="7">
        <f>IF(C6="Portrait","WIZ1","WIZ2")</f>
        <v/>
      </c>
      <c r="L6" s="7">
        <f>IF(C6="Portrait","WIZ2","WIZ1")</f>
        <v/>
      </c>
      <c r="M6" s="7">
        <f>IF(C6="Portrait","1080x1920","1920x1080")</f>
        <v/>
      </c>
      <c r="N6" s="7">
        <f>IF(C6="Portrait","1920x1080","1080x1920")</f>
        <v/>
      </c>
      <c r="O6" s="7">
        <f>IF(B6="","",TEXT(32+E6,"000")&amp;".mp4")</f>
        <v/>
      </c>
      <c r="P6" s="7">
        <f>IF(B6="","",TEXT(F6,"000")&amp;".mp4")</f>
        <v/>
      </c>
      <c r="R6">
        <f>IF(G6="","",IF(G6="Emotions","CAT_EMOTIONS",IF(G6="Realiste","CAT_REALISTE",IF(G6="Matiere","CAT_MATIERE",IF(G6="Conteur","CAT_CONTEUR","CAT_EMOTIONS")))))</f>
        <v/>
      </c>
      <c r="S6">
        <f>IF(H6="","",IF(H6="Emotions","CAT_EMOTIONS",IF(H6="Realiste","CAT_REALISTE",IF(H6="Matiere","CAT_MATIERE",IF(H6="Conteur","CAT_CONTEUR","CAT_EMOTIONS")))))</f>
        <v/>
      </c>
      <c r="T6">
        <f>IF(I6="","",IF(I6="Emotions","CAT_EMOTIONS",IF(I6="Realiste","CAT_REALISTE",IF(I6="Matiere","CAT_MATIERE",IF(I6="Conteur","CAT_CONTEUR","CAT_EMOTIONS")))))</f>
        <v/>
      </c>
      <c r="U6">
        <f>IF(J6="","",IF(J6="Emotions","CAT_EMOTIONS",IF(J6="Realiste","CAT_REALISTE",IF(J6="Matiere","CAT_MATIERE",IF(J6="Conteur","CAT_CONTEUR","CAT_EMOTIONS")))))</f>
        <v/>
      </c>
      <c r="V6">
        <f>IF(B6="","","  { "&amp;E6&amp;", { "&amp;R6&amp;", "&amp;S6&amp;", "&amp;T6&amp;", "&amp;U6&amp;" }, "&amp;C6&amp;" },")</f>
        <v/>
      </c>
    </row>
    <row r="7">
      <c r="A7" s="7">
        <f>IF(B7="","",ROW()-3)</f>
        <v/>
      </c>
      <c r="B7" s="8" t="inlineStr">
        <is>
          <t>Delaunay / Kirchner - night landscape</t>
        </is>
      </c>
      <c r="C7" s="9" t="inlineStr">
        <is>
          <t>Landscape</t>
        </is>
      </c>
      <c r="D7" s="7">
        <f>IF(C7="Portrait","Landscape","Portrait")</f>
        <v/>
      </c>
      <c r="E7" s="7">
        <f>IF(B7="","",A7)</f>
        <v/>
      </c>
      <c r="F7" s="7">
        <f>E7+0</f>
        <v/>
      </c>
      <c r="G7" s="9" t="inlineStr">
        <is>
          <t>Emotions</t>
        </is>
      </c>
      <c r="H7" s="9" t="inlineStr">
        <is>
          <t>Realiste</t>
        </is>
      </c>
      <c r="I7" s="9" t="inlineStr">
        <is>
          <t>Matiere</t>
        </is>
      </c>
      <c r="J7" s="9" t="inlineStr">
        <is>
          <t>Conteur</t>
        </is>
      </c>
      <c r="K7" s="7">
        <f>IF(C7="Portrait","WIZ1","WIZ2")</f>
        <v/>
      </c>
      <c r="L7" s="7">
        <f>IF(C7="Portrait","WIZ2","WIZ1")</f>
        <v/>
      </c>
      <c r="M7" s="7">
        <f>IF(C7="Portrait","1080x1920","1920x1080")</f>
        <v/>
      </c>
      <c r="N7" s="7">
        <f>IF(C7="Portrait","1920x1080","1080x1920")</f>
        <v/>
      </c>
      <c r="O7" s="7">
        <f>IF(B7="","",TEXT(32+E7,"000")&amp;".mp4")</f>
        <v/>
      </c>
      <c r="P7" s="7">
        <f>IF(B7="","",TEXT(F7,"000")&amp;".mp4")</f>
        <v/>
      </c>
      <c r="R7">
        <f>IF(G7="","",IF(G7="Emotions","CAT_EMOTIONS",IF(G7="Realiste","CAT_REALISTE",IF(G7="Matiere","CAT_MATIERE",IF(G7="Conteur","CAT_CONTEUR","CAT_EMOTIONS")))))</f>
        <v/>
      </c>
      <c r="S7">
        <f>IF(H7="","",IF(H7="Emotions","CAT_EMOTIONS",IF(H7="Realiste","CAT_REALISTE",IF(H7="Matiere","CAT_MATIERE",IF(H7="Conteur","CAT_CONTEUR","CAT_EMOTIONS")))))</f>
        <v/>
      </c>
      <c r="T7">
        <f>IF(I7="","",IF(I7="Emotions","CAT_EMOTIONS",IF(I7="Realiste","CAT_REALISTE",IF(I7="Matiere","CAT_MATIERE",IF(I7="Conteur","CAT_CONTEUR","CAT_EMOTIONS")))))</f>
        <v/>
      </c>
      <c r="U7">
        <f>IF(J7="","",IF(J7="Emotions","CAT_EMOTIONS",IF(J7="Realiste","CAT_REALISTE",IF(J7="Matiere","CAT_MATIERE",IF(J7="Conteur","CAT_CONTEUR","CAT_EMOTIONS")))))</f>
        <v/>
      </c>
      <c r="V7">
        <f>IF(B7="","","  { "&amp;E7&amp;", { "&amp;R7&amp;", "&amp;S7&amp;", "&amp;T7&amp;", "&amp;U7&amp;" }, "&amp;C7&amp;" },")</f>
        <v/>
      </c>
    </row>
    <row r="8">
      <c r="A8" s="7">
        <f>IF(B8="","",ROW()-3)</f>
        <v/>
      </c>
      <c r="B8" s="8" t="inlineStr">
        <is>
          <t>Van Gogh - Starry Night</t>
        </is>
      </c>
      <c r="C8" s="9" t="inlineStr">
        <is>
          <t>Landscape</t>
        </is>
      </c>
      <c r="D8" s="7">
        <f>IF(C8="Portrait","Landscape","Portrait")</f>
        <v/>
      </c>
      <c r="E8" s="7">
        <f>IF(B8="","",A8)</f>
        <v/>
      </c>
      <c r="F8" s="7">
        <f>E8+0</f>
        <v/>
      </c>
      <c r="G8" s="9" t="inlineStr">
        <is>
          <t>Emotions</t>
        </is>
      </c>
      <c r="H8" s="9" t="inlineStr">
        <is>
          <t>Realiste</t>
        </is>
      </c>
      <c r="I8" s="9" t="inlineStr">
        <is>
          <t>Matiere</t>
        </is>
      </c>
      <c r="J8" s="9" t="inlineStr">
        <is>
          <t>Conteur</t>
        </is>
      </c>
      <c r="K8" s="7">
        <f>IF(C8="Portrait","WIZ1","WIZ2")</f>
        <v/>
      </c>
      <c r="L8" s="7">
        <f>IF(C8="Portrait","WIZ2","WIZ1")</f>
        <v/>
      </c>
      <c r="M8" s="7">
        <f>IF(C8="Portrait","1080x1920","1920x1080")</f>
        <v/>
      </c>
      <c r="N8" s="7">
        <f>IF(C8="Portrait","1920x1080","1080x1920")</f>
        <v/>
      </c>
      <c r="O8" s="7">
        <f>IF(B8="","",TEXT(32+E8,"000")&amp;".mp4")</f>
        <v/>
      </c>
      <c r="P8" s="7">
        <f>IF(B8="","",TEXT(F8,"000")&amp;".mp4")</f>
        <v/>
      </c>
      <c r="R8">
        <f>IF(G8="","",IF(G8="Emotions","CAT_EMOTIONS",IF(G8="Realiste","CAT_REALISTE",IF(G8="Matiere","CAT_MATIERE",IF(G8="Conteur","CAT_CONTEUR","CAT_EMOTIONS")))))</f>
        <v/>
      </c>
      <c r="S8">
        <f>IF(H8="","",IF(H8="Emotions","CAT_EMOTIONS",IF(H8="Realiste","CAT_REALISTE",IF(H8="Matiere","CAT_MATIERE",IF(H8="Conteur","CAT_CONTEUR","CAT_EMOTIONS")))))</f>
        <v/>
      </c>
      <c r="T8">
        <f>IF(I8="","",IF(I8="Emotions","CAT_EMOTIONS",IF(I8="Realiste","CAT_REALISTE",IF(I8="Matiere","CAT_MATIERE",IF(I8="Conteur","CAT_CONTEUR","CAT_EMOTIONS")))))</f>
        <v/>
      </c>
      <c r="U8">
        <f>IF(J8="","",IF(J8="Emotions","CAT_EMOTIONS",IF(J8="Realiste","CAT_REALISTE",IF(J8="Matiere","CAT_MATIERE",IF(J8="Conteur","CAT_CONTEUR","CAT_EMOTIONS")))))</f>
        <v/>
      </c>
      <c r="V8">
        <f>IF(B8="","","  { "&amp;E8&amp;", { "&amp;R8&amp;", "&amp;S8&amp;", "&amp;T8&amp;", "&amp;U8&amp;" }, "&amp;C8&amp;" },")</f>
        <v/>
      </c>
    </row>
    <row r="9">
      <c r="A9" s="7">
        <f>IF(B9="","",ROW()-3)</f>
        <v/>
      </c>
      <c r="B9" s="8" t="inlineStr">
        <is>
          <t>Hopper - Nighthawks (Q6A)</t>
        </is>
      </c>
      <c r="C9" s="9" t="inlineStr">
        <is>
          <t>Landscape</t>
        </is>
      </c>
      <c r="D9" s="7">
        <f>IF(C9="Portrait","Landscape","Portrait")</f>
        <v/>
      </c>
      <c r="E9" s="7">
        <f>IF(B9="","",A9)</f>
        <v/>
      </c>
      <c r="F9" s="7">
        <f>E9+0</f>
        <v/>
      </c>
      <c r="G9" s="9" t="inlineStr">
        <is>
          <t>Emotions</t>
        </is>
      </c>
      <c r="H9" s="9" t="inlineStr">
        <is>
          <t>Conteur</t>
        </is>
      </c>
      <c r="I9" s="9" t="inlineStr">
        <is>
          <t>Matiere</t>
        </is>
      </c>
      <c r="J9" s="9" t="inlineStr">
        <is>
          <t>Realiste</t>
        </is>
      </c>
      <c r="K9" s="7">
        <f>IF(C9="Portrait","WIZ1","WIZ2")</f>
        <v/>
      </c>
      <c r="L9" s="7">
        <f>IF(C9="Portrait","WIZ2","WIZ1")</f>
        <v/>
      </c>
      <c r="M9" s="7">
        <f>IF(C9="Portrait","1080x1920","1920x1080")</f>
        <v/>
      </c>
      <c r="N9" s="7">
        <f>IF(C9="Portrait","1920x1080","1080x1920")</f>
        <v/>
      </c>
      <c r="O9" s="7">
        <f>IF(B9="","",TEXT(32+E9,"000")&amp;".mp4")</f>
        <v/>
      </c>
      <c r="P9" s="7">
        <f>IF(B9="","",TEXT(F9,"000")&amp;".mp4")</f>
        <v/>
      </c>
      <c r="R9">
        <f>IF(G9="","",IF(G9="Emotions","CAT_EMOTIONS",IF(G9="Realiste","CAT_REALISTE",IF(G9="Matiere","CAT_MATIERE",IF(G9="Conteur","CAT_CONTEUR","CAT_EMOTIONS")))))</f>
        <v/>
      </c>
      <c r="S9">
        <f>IF(H9="","",IF(H9="Emotions","CAT_EMOTIONS",IF(H9="Realiste","CAT_REALISTE",IF(H9="Matiere","CAT_MATIERE",IF(H9="Conteur","CAT_CONTEUR","CAT_EMOTIONS")))))</f>
        <v/>
      </c>
      <c r="T9">
        <f>IF(I9="","",IF(I9="Emotions","CAT_EMOTIONS",IF(I9="Realiste","CAT_REALISTE",IF(I9="Matiere","CAT_MATIERE",IF(I9="Conteur","CAT_CONTEUR","CAT_EMOTIONS")))))</f>
        <v/>
      </c>
      <c r="U9">
        <f>IF(J9="","",IF(J9="Emotions","CAT_EMOTIONS",IF(J9="Realiste","CAT_REALISTE",IF(J9="Matiere","CAT_MATIERE",IF(J9="Conteur","CAT_CONTEUR","CAT_EMOTIONS")))))</f>
        <v/>
      </c>
      <c r="V9">
        <f>IF(B9="","","  { "&amp;E9&amp;", { "&amp;R9&amp;", "&amp;S9&amp;", "&amp;T9&amp;", "&amp;U9&amp;" }, "&amp;C9&amp;" },")</f>
        <v/>
      </c>
    </row>
    <row r="10">
      <c r="A10" s="7">
        <f>IF(B10="","",ROW()-3)</f>
        <v/>
      </c>
      <c r="B10" s="8" t="inlineStr">
        <is>
          <t>Hopper - Night Windows (Q6B)</t>
        </is>
      </c>
      <c r="C10" s="9" t="inlineStr">
        <is>
          <t>Landscape</t>
        </is>
      </c>
      <c r="D10" s="7">
        <f>IF(C10="Portrait","Landscape","Portrait")</f>
        <v/>
      </c>
      <c r="E10" s="7">
        <f>IF(B10="","",A10)</f>
        <v/>
      </c>
      <c r="F10" s="7">
        <f>E10+0</f>
        <v/>
      </c>
      <c r="G10" s="9" t="inlineStr">
        <is>
          <t>Realiste</t>
        </is>
      </c>
      <c r="H10" s="9" t="inlineStr">
        <is>
          <t>Matiere</t>
        </is>
      </c>
      <c r="I10" s="9" t="inlineStr">
        <is>
          <t>Conteur</t>
        </is>
      </c>
      <c r="J10" s="9" t="inlineStr">
        <is>
          <t>Emotions</t>
        </is>
      </c>
      <c r="K10" s="7">
        <f>IF(C10="Portrait","WIZ1","WIZ2")</f>
        <v/>
      </c>
      <c r="L10" s="7">
        <f>IF(C10="Portrait","WIZ2","WIZ1")</f>
        <v/>
      </c>
      <c r="M10" s="7">
        <f>IF(C10="Portrait","1080x1920","1920x1080")</f>
        <v/>
      </c>
      <c r="N10" s="7">
        <f>IF(C10="Portrait","1920x1080","1080x1920")</f>
        <v/>
      </c>
      <c r="O10" s="7">
        <f>IF(B10="","",TEXT(32+E10,"000")&amp;".mp4")</f>
        <v/>
      </c>
      <c r="P10" s="7">
        <f>IF(B10="","",TEXT(F10,"000")&amp;".mp4")</f>
        <v/>
      </c>
      <c r="R10">
        <f>IF(G10="","",IF(G10="Emotions","CAT_EMOTIONS",IF(G10="Realiste","CAT_REALISTE",IF(G10="Matiere","CAT_MATIERE",IF(G10="Conteur","CAT_CONTEUR","CAT_EMOTIONS")))))</f>
        <v/>
      </c>
      <c r="S10">
        <f>IF(H10="","",IF(H10="Emotions","CAT_EMOTIONS",IF(H10="Realiste","CAT_REALISTE",IF(H10="Matiere","CAT_MATIERE",IF(H10="Conteur","CAT_CONTEUR","CAT_EMOTIONS")))))</f>
        <v/>
      </c>
      <c r="T10">
        <f>IF(I10="","",IF(I10="Emotions","CAT_EMOTIONS",IF(I10="Realiste","CAT_REALISTE",IF(I10="Matiere","CAT_MATIERE",IF(I10="Conteur","CAT_CONTEUR","CAT_EMOTIONS")))))</f>
        <v/>
      </c>
      <c r="U10">
        <f>IF(J10="","",IF(J10="Emotions","CAT_EMOTIONS",IF(J10="Realiste","CAT_REALISTE",IF(J10="Matiere","CAT_MATIERE",IF(J10="Conteur","CAT_CONTEUR","CAT_EMOTIONS")))))</f>
        <v/>
      </c>
      <c r="V10">
        <f>IF(B10="","","  { "&amp;E10&amp;", { "&amp;R10&amp;", "&amp;S10&amp;", "&amp;T10&amp;", "&amp;U10&amp;" }, "&amp;C10&amp;" },")</f>
        <v/>
      </c>
    </row>
    <row r="11">
      <c r="A11" s="7">
        <f>IF(B11="","",ROW()-3)</f>
        <v/>
      </c>
      <c r="B11" s="8" t="inlineStr">
        <is>
          <t>Photo - Sudek / Brassai (Q7)</t>
        </is>
      </c>
      <c r="C11" s="9" t="inlineStr">
        <is>
          <t>Portrait</t>
        </is>
      </c>
      <c r="D11" s="7">
        <f>IF(C11="Portrait","Landscape","Portrait")</f>
        <v/>
      </c>
      <c r="E11" s="7">
        <f>IF(B11="","",A11)</f>
        <v/>
      </c>
      <c r="F11" s="7">
        <f>E11+0</f>
        <v/>
      </c>
      <c r="G11" s="9" t="inlineStr">
        <is>
          <t>Matiere</t>
        </is>
      </c>
      <c r="H11" s="9" t="inlineStr">
        <is>
          <t>Conteur</t>
        </is>
      </c>
      <c r="I11" s="9" t="inlineStr">
        <is>
          <t>Realiste</t>
        </is>
      </c>
      <c r="J11" s="9" t="inlineStr">
        <is>
          <t>Emotions</t>
        </is>
      </c>
      <c r="K11" s="7">
        <f>IF(C11="Portrait","WIZ1","WIZ2")</f>
        <v/>
      </c>
      <c r="L11" s="7">
        <f>IF(C11="Portrait","WIZ2","WIZ1")</f>
        <v/>
      </c>
      <c r="M11" s="7">
        <f>IF(C11="Portrait","1080x1920","1920x1080")</f>
        <v/>
      </c>
      <c r="N11" s="7">
        <f>IF(C11="Portrait","1920x1080","1080x1920")</f>
        <v/>
      </c>
      <c r="O11" s="7">
        <f>IF(B11="","",TEXT(32+E11,"000")&amp;".mp4")</f>
        <v/>
      </c>
      <c r="P11" s="7">
        <f>IF(B11="","",TEXT(F11,"000")&amp;".mp4")</f>
        <v/>
      </c>
      <c r="R11">
        <f>IF(G11="","",IF(G11="Emotions","CAT_EMOTIONS",IF(G11="Realiste","CAT_REALISTE",IF(G11="Matiere","CAT_MATIERE",IF(G11="Conteur","CAT_CONTEUR","CAT_EMOTIONS")))))</f>
        <v/>
      </c>
      <c r="S11">
        <f>IF(H11="","",IF(H11="Emotions","CAT_EMOTIONS",IF(H11="Realiste","CAT_REALISTE",IF(H11="Matiere","CAT_MATIERE",IF(H11="Conteur","CAT_CONTEUR","CAT_EMOTIONS")))))</f>
        <v/>
      </c>
      <c r="T11">
        <f>IF(I11="","",IF(I11="Emotions","CAT_EMOTIONS",IF(I11="Realiste","CAT_REALISTE",IF(I11="Matiere","CAT_MATIERE",IF(I11="Conteur","CAT_CONTEUR","CAT_EMOTIONS")))))</f>
        <v/>
      </c>
      <c r="U11">
        <f>IF(J11="","",IF(J11="Emotions","CAT_EMOTIONS",IF(J11="Realiste","CAT_REALISTE",IF(J11="Matiere","CAT_MATIERE",IF(J11="Conteur","CAT_CONTEUR","CAT_EMOTIONS")))))</f>
        <v/>
      </c>
      <c r="V11">
        <f>IF(B11="","","  { "&amp;E11&amp;", { "&amp;R11&amp;", "&amp;S11&amp;", "&amp;T11&amp;", "&amp;U11&amp;" }, "&amp;C11&amp;" },")</f>
        <v/>
      </c>
    </row>
    <row r="12">
      <c r="A12" s="7">
        <f>IF(B12="","",ROW()-3)</f>
        <v/>
      </c>
      <c r="B12" s="8" t="inlineStr">
        <is>
          <t>Fuseli - The Nightmare</t>
        </is>
      </c>
      <c r="C12" s="9" t="inlineStr">
        <is>
          <t>Landscape</t>
        </is>
      </c>
      <c r="D12" s="7">
        <f>IF(C12="Portrait","Landscape","Portrait")</f>
        <v/>
      </c>
      <c r="E12" s="7">
        <f>IF(B12="","",A12)</f>
        <v/>
      </c>
      <c r="F12" s="7">
        <f>E12+0</f>
        <v/>
      </c>
      <c r="G12" s="9" t="inlineStr">
        <is>
          <t>Emotions</t>
        </is>
      </c>
      <c r="H12" s="9" t="inlineStr">
        <is>
          <t>Conteur</t>
        </is>
      </c>
      <c r="I12" s="9" t="inlineStr">
        <is>
          <t>Realiste</t>
        </is>
      </c>
      <c r="J12" s="9" t="inlineStr">
        <is>
          <t>Matiere</t>
        </is>
      </c>
      <c r="K12" s="7">
        <f>IF(C12="Portrait","WIZ1","WIZ2")</f>
        <v/>
      </c>
      <c r="L12" s="7">
        <f>IF(C12="Portrait","WIZ2","WIZ1")</f>
        <v/>
      </c>
      <c r="M12" s="7">
        <f>IF(C12="Portrait","1080x1920","1920x1080")</f>
        <v/>
      </c>
      <c r="N12" s="7">
        <f>IF(C12="Portrait","1920x1080","1080x1920")</f>
        <v/>
      </c>
      <c r="O12" s="7">
        <f>IF(B12="","",TEXT(32+E12,"000")&amp;".mp4")</f>
        <v/>
      </c>
      <c r="P12" s="7">
        <f>IF(B12="","",TEXT(F12,"000")&amp;".mp4")</f>
        <v/>
      </c>
      <c r="R12">
        <f>IF(G12="","",IF(G12="Emotions","CAT_EMOTIONS",IF(G12="Realiste","CAT_REALISTE",IF(G12="Matiere","CAT_MATIERE",IF(G12="Conteur","CAT_CONTEUR","CAT_EMOTIONS")))))</f>
        <v/>
      </c>
      <c r="S12">
        <f>IF(H12="","",IF(H12="Emotions","CAT_EMOTIONS",IF(H12="Realiste","CAT_REALISTE",IF(H12="Matiere","CAT_MATIERE",IF(H12="Conteur","CAT_CONTEUR","CAT_EMOTIONS")))))</f>
        <v/>
      </c>
      <c r="T12">
        <f>IF(I12="","",IF(I12="Emotions","CAT_EMOTIONS",IF(I12="Realiste","CAT_REALISTE",IF(I12="Matiere","CAT_MATIERE",IF(I12="Conteur","CAT_CONTEUR","CAT_EMOTIONS")))))</f>
        <v/>
      </c>
      <c r="U12">
        <f>IF(J12="","",IF(J12="Emotions","CAT_EMOTIONS",IF(J12="Realiste","CAT_REALISTE",IF(J12="Matiere","CAT_MATIERE",IF(J12="Conteur","CAT_CONTEUR","CAT_EMOTIONS")))))</f>
        <v/>
      </c>
      <c r="V12">
        <f>IF(B12="","","  { "&amp;E12&amp;", { "&amp;R12&amp;", "&amp;S12&amp;", "&amp;T12&amp;", "&amp;U12&amp;" }, "&amp;C12&amp;" },")</f>
        <v/>
      </c>
    </row>
    <row r="13">
      <c r="A13" s="7">
        <f>IF(B13="","",ROW()-3)</f>
        <v/>
      </c>
      <c r="B13" s="8" t="inlineStr">
        <is>
          <t>Soulages - Outrenoir</t>
        </is>
      </c>
      <c r="C13" s="9" t="inlineStr">
        <is>
          <t>Landscape</t>
        </is>
      </c>
      <c r="D13" s="7">
        <f>IF(C13="Portrait","Landscape","Portrait")</f>
        <v/>
      </c>
      <c r="E13" s="7">
        <f>IF(B13="","",A13)</f>
        <v/>
      </c>
      <c r="F13" s="7">
        <f>E13+0</f>
        <v/>
      </c>
      <c r="G13" s="9" t="inlineStr">
        <is>
          <t>Matiere</t>
        </is>
      </c>
      <c r="H13" s="9" t="inlineStr">
        <is>
          <t>Conteur</t>
        </is>
      </c>
      <c r="I13" s="9" t="inlineStr">
        <is>
          <t>Realiste</t>
        </is>
      </c>
      <c r="J13" s="9" t="inlineStr">
        <is>
          <t>Emotions</t>
        </is>
      </c>
      <c r="K13" s="7">
        <f>IF(C13="Portrait","WIZ1","WIZ2")</f>
        <v/>
      </c>
      <c r="L13" s="7">
        <f>IF(C13="Portrait","WIZ2","WIZ1")</f>
        <v/>
      </c>
      <c r="M13" s="7">
        <f>IF(C13="Portrait","1080x1920","1920x1080")</f>
        <v/>
      </c>
      <c r="N13" s="7">
        <f>IF(C13="Portrait","1920x1080","1080x1920")</f>
        <v/>
      </c>
      <c r="O13" s="7">
        <f>IF(B13="","",TEXT(32+E13,"000")&amp;".mp4")</f>
        <v/>
      </c>
      <c r="P13" s="7">
        <f>IF(B13="","",TEXT(F13,"000")&amp;".mp4")</f>
        <v/>
      </c>
      <c r="R13">
        <f>IF(G13="","",IF(G13="Emotions","CAT_EMOTIONS",IF(G13="Realiste","CAT_REALISTE",IF(G13="Matiere","CAT_MATIERE",IF(G13="Conteur","CAT_CONTEUR","CAT_EMOTIONS")))))</f>
        <v/>
      </c>
      <c r="S13">
        <f>IF(H13="","",IF(H13="Emotions","CAT_EMOTIONS",IF(H13="Realiste","CAT_REALISTE",IF(H13="Matiere","CAT_MATIERE",IF(H13="Conteur","CAT_CONTEUR","CAT_EMOTIONS")))))</f>
        <v/>
      </c>
      <c r="T13">
        <f>IF(I13="","",IF(I13="Emotions","CAT_EMOTIONS",IF(I13="Realiste","CAT_REALISTE",IF(I13="Matiere","CAT_MATIERE",IF(I13="Conteur","CAT_CONTEUR","CAT_EMOTIONS")))))</f>
        <v/>
      </c>
      <c r="U13">
        <f>IF(J13="","",IF(J13="Emotions","CAT_EMOTIONS",IF(J13="Realiste","CAT_REALISTE",IF(J13="Matiere","CAT_MATIERE",IF(J13="Conteur","CAT_CONTEUR","CAT_EMOTIONS")))))</f>
        <v/>
      </c>
      <c r="V13">
        <f>IF(B13="","","  { "&amp;E13&amp;", { "&amp;R13&amp;", "&amp;S13&amp;", "&amp;T13&amp;", "&amp;U13&amp;" }, "&amp;C13&amp;" },")</f>
        <v/>
      </c>
    </row>
    <row r="14">
      <c r="A14" s="7">
        <f>IF(B14="","",ROW()-3)</f>
        <v/>
      </c>
      <c r="B14" s="8" t="inlineStr">
        <is>
          <t>Vallotton - The Bibliophile</t>
        </is>
      </c>
      <c r="C14" s="9" t="inlineStr">
        <is>
          <t>Portrait</t>
        </is>
      </c>
      <c r="D14" s="7">
        <f>IF(C14="Portrait","Landscape","Portrait")</f>
        <v/>
      </c>
      <c r="E14" s="7">
        <f>IF(B14="","",A14)</f>
        <v/>
      </c>
      <c r="F14" s="7">
        <f>E14+0</f>
        <v/>
      </c>
      <c r="G14" s="9" t="inlineStr">
        <is>
          <t>Emotions</t>
        </is>
      </c>
      <c r="H14" s="9" t="inlineStr">
        <is>
          <t>Conteur</t>
        </is>
      </c>
      <c r="I14" s="9" t="inlineStr">
        <is>
          <t>Realiste</t>
        </is>
      </c>
      <c r="J14" s="9" t="inlineStr">
        <is>
          <t>Matiere</t>
        </is>
      </c>
      <c r="K14" s="7">
        <f>IF(C14="Portrait","WIZ1","WIZ2")</f>
        <v/>
      </c>
      <c r="L14" s="7">
        <f>IF(C14="Portrait","WIZ2","WIZ1")</f>
        <v/>
      </c>
      <c r="M14" s="7">
        <f>IF(C14="Portrait","1080x1920","1920x1080")</f>
        <v/>
      </c>
      <c r="N14" s="7">
        <f>IF(C14="Portrait","1920x1080","1080x1920")</f>
        <v/>
      </c>
      <c r="O14" s="7">
        <f>IF(B14="","",TEXT(32+E14,"000")&amp;".mp4")</f>
        <v/>
      </c>
      <c r="P14" s="7">
        <f>IF(B14="","",TEXT(F14,"000")&amp;".mp4")</f>
        <v/>
      </c>
      <c r="R14">
        <f>IF(G14="","",IF(G14="Emotions","CAT_EMOTIONS",IF(G14="Realiste","CAT_REALISTE",IF(G14="Matiere","CAT_MATIERE",IF(G14="Conteur","CAT_CONTEUR","CAT_EMOTIONS")))))</f>
        <v/>
      </c>
      <c r="S14">
        <f>IF(H14="","",IF(H14="Emotions","CAT_EMOTIONS",IF(H14="Realiste","CAT_REALISTE",IF(H14="Matiere","CAT_MATIERE",IF(H14="Conteur","CAT_CONTEUR","CAT_EMOTIONS")))))</f>
        <v/>
      </c>
      <c r="T14">
        <f>IF(I14="","",IF(I14="Emotions","CAT_EMOTIONS",IF(I14="Realiste","CAT_REALISTE",IF(I14="Matiere","CAT_MATIERE",IF(I14="Conteur","CAT_CONTEUR","CAT_EMOTIONS")))))</f>
        <v/>
      </c>
      <c r="U14">
        <f>IF(J14="","",IF(J14="Emotions","CAT_EMOTIONS",IF(J14="Realiste","CAT_REALISTE",IF(J14="Matiere","CAT_MATIERE",IF(J14="Conteur","CAT_CONTEUR","CAT_EMOTIONS")))))</f>
        <v/>
      </c>
      <c r="V14">
        <f>IF(B14="","","  { "&amp;E14&amp;", { "&amp;R14&amp;", "&amp;S14&amp;", "&amp;T14&amp;", "&amp;U14&amp;" }, "&amp;C14&amp;" },")</f>
        <v/>
      </c>
    </row>
    <row r="15">
      <c r="A15" s="7">
        <f>IF(B15="","",ROW()-3)</f>
        <v/>
      </c>
      <c r="B15" s="8" t="inlineStr">
        <is>
          <t>Grandville - Cast Shadows</t>
        </is>
      </c>
      <c r="C15" s="9" t="inlineStr">
        <is>
          <t>Landscape</t>
        </is>
      </c>
      <c r="D15" s="7">
        <f>IF(C15="Portrait","Landscape","Portrait")</f>
        <v/>
      </c>
      <c r="E15" s="7">
        <f>IF(B15="","",A15)</f>
        <v/>
      </c>
      <c r="F15" s="7">
        <f>E15+0</f>
        <v/>
      </c>
      <c r="G15" s="9" t="inlineStr">
        <is>
          <t>Realiste</t>
        </is>
      </c>
      <c r="H15" s="9" t="inlineStr">
        <is>
          <t>Emotions</t>
        </is>
      </c>
      <c r="I15" s="9" t="inlineStr">
        <is>
          <t>Matiere</t>
        </is>
      </c>
      <c r="J15" s="9" t="inlineStr">
        <is>
          <t>Conteur</t>
        </is>
      </c>
      <c r="K15" s="7">
        <f>IF(C15="Portrait","WIZ1","WIZ2")</f>
        <v/>
      </c>
      <c r="L15" s="7">
        <f>IF(C15="Portrait","WIZ2","WIZ1")</f>
        <v/>
      </c>
      <c r="M15" s="7">
        <f>IF(C15="Portrait","1080x1920","1920x1080")</f>
        <v/>
      </c>
      <c r="N15" s="7">
        <f>IF(C15="Portrait","1920x1080","1080x1920")</f>
        <v/>
      </c>
      <c r="O15" s="7">
        <f>IF(B15="","",TEXT(32+E15,"000")&amp;".mp4")</f>
        <v/>
      </c>
      <c r="P15" s="7">
        <f>IF(B15="","",TEXT(F15,"000")&amp;".mp4")</f>
        <v/>
      </c>
      <c r="R15">
        <f>IF(G15="","",IF(G15="Emotions","CAT_EMOTIONS",IF(G15="Realiste","CAT_REALISTE",IF(G15="Matiere","CAT_MATIERE",IF(G15="Conteur","CAT_CONTEUR","CAT_EMOTIONS")))))</f>
        <v/>
      </c>
      <c r="S15">
        <f>IF(H15="","",IF(H15="Emotions","CAT_EMOTIONS",IF(H15="Realiste","CAT_REALISTE",IF(H15="Matiere","CAT_MATIERE",IF(H15="Conteur","CAT_CONTEUR","CAT_EMOTIONS")))))</f>
        <v/>
      </c>
      <c r="T15">
        <f>IF(I15="","",IF(I15="Emotions","CAT_EMOTIONS",IF(I15="Realiste","CAT_REALISTE",IF(I15="Matiere","CAT_MATIERE",IF(I15="Conteur","CAT_CONTEUR","CAT_EMOTIONS")))))</f>
        <v/>
      </c>
      <c r="U15">
        <f>IF(J15="","",IF(J15="Emotions","CAT_EMOTIONS",IF(J15="Realiste","CAT_REALISTE",IF(J15="Matiere","CAT_MATIERE",IF(J15="Conteur","CAT_CONTEUR","CAT_EMOTIONS")))))</f>
        <v/>
      </c>
      <c r="V15">
        <f>IF(B15="","","  { "&amp;E15&amp;", { "&amp;R15&amp;", "&amp;S15&amp;", "&amp;T15&amp;", "&amp;U15&amp;" }, "&amp;C15&amp;" },")</f>
        <v/>
      </c>
    </row>
    <row r="16">
      <c r="A16" s="7">
        <f>IF(B16="","",ROW()-3)</f>
        <v/>
      </c>
      <c r="B16" s="8" t="inlineStr">
        <is>
          <t>Your work - final 4 motifs Q12</t>
        </is>
      </c>
      <c r="C16" s="9" t="inlineStr">
        <is>
          <t>Portrait</t>
        </is>
      </c>
      <c r="D16" s="7">
        <f>IF(C16="Portrait","Landscape","Portrait")</f>
        <v/>
      </c>
      <c r="E16" s="7">
        <f>IF(B16="","",A16)</f>
        <v/>
      </c>
      <c r="F16" s="7">
        <f>E16+0</f>
        <v/>
      </c>
      <c r="G16" s="9" t="inlineStr">
        <is>
          <t>Emotions</t>
        </is>
      </c>
      <c r="H16" s="9" t="inlineStr">
        <is>
          <t>Conteur</t>
        </is>
      </c>
      <c r="I16" s="9" t="inlineStr">
        <is>
          <t>Realiste</t>
        </is>
      </c>
      <c r="J16" s="9" t="inlineStr">
        <is>
          <t>Matiere</t>
        </is>
      </c>
      <c r="K16" s="7">
        <f>IF(C16="Portrait","WIZ1","WIZ2")</f>
        <v/>
      </c>
      <c r="L16" s="7">
        <f>IF(C16="Portrait","WIZ2","WIZ1")</f>
        <v/>
      </c>
      <c r="M16" s="7">
        <f>IF(C16="Portrait","1080x1920","1920x1080")</f>
        <v/>
      </c>
      <c r="N16" s="7">
        <f>IF(C16="Portrait","1920x1080","1080x1920")</f>
        <v/>
      </c>
      <c r="O16" s="7">
        <f>IF(B16="","",TEXT(32+E16,"000")&amp;".mp4")</f>
        <v/>
      </c>
      <c r="P16" s="7">
        <f>IF(B16="","",TEXT(F16,"000")&amp;".mp4")</f>
        <v/>
      </c>
      <c r="R16">
        <f>IF(G16="","",IF(G16="Emotions","CAT_EMOTIONS",IF(G16="Realiste","CAT_REALISTE",IF(G16="Matiere","CAT_MATIERE",IF(G16="Conteur","CAT_CONTEUR","CAT_EMOTIONS")))))</f>
        <v/>
      </c>
      <c r="S16">
        <f>IF(H16="","",IF(H16="Emotions","CAT_EMOTIONS",IF(H16="Realiste","CAT_REALISTE",IF(H16="Matiere","CAT_MATIERE",IF(H16="Conteur","CAT_CONTEUR","CAT_EMOTIONS")))))</f>
        <v/>
      </c>
      <c r="T16">
        <f>IF(I16="","",IF(I16="Emotions","CAT_EMOTIONS",IF(I16="Realiste","CAT_REALISTE",IF(I16="Matiere","CAT_MATIERE",IF(I16="Conteur","CAT_CONTEUR","CAT_EMOTIONS")))))</f>
        <v/>
      </c>
      <c r="U16">
        <f>IF(J16="","",IF(J16="Emotions","CAT_EMOTIONS",IF(J16="Realiste","CAT_REALISTE",IF(J16="Matiere","CAT_MATIERE",IF(J16="Conteur","CAT_CONTEUR","CAT_EMOTIONS")))))</f>
        <v/>
      </c>
      <c r="V16">
        <f>IF(B16="","","  { "&amp;E16&amp;", { "&amp;R16&amp;", "&amp;S16&amp;", "&amp;T16&amp;", "&amp;U16&amp;" }, "&amp;C16&amp;" },")</f>
        <v/>
      </c>
    </row>
    <row r="17">
      <c r="A17" s="7">
        <f>IF(B17="","",ROW()-3)</f>
        <v/>
      </c>
      <c r="B17" s="8" t="n"/>
      <c r="C17" s="9" t="inlineStr">
        <is>
          <t>Portrait</t>
        </is>
      </c>
      <c r="D17" s="7">
        <f>IF(C17="Portrait","Landscape","Portrait")</f>
        <v/>
      </c>
      <c r="E17" s="7">
        <f>IF(B17="","",A17)</f>
        <v/>
      </c>
      <c r="F17" s="7">
        <f>E17+0</f>
        <v/>
      </c>
      <c r="G17" s="9" t="n"/>
      <c r="H17" s="9" t="n"/>
      <c r="I17" s="9" t="n"/>
      <c r="J17" s="9" t="n"/>
      <c r="K17" s="7">
        <f>IF(C17="Portrait","WIZ1","WIZ2")</f>
        <v/>
      </c>
      <c r="L17" s="7">
        <f>IF(C17="Portrait","WIZ2","WIZ1")</f>
        <v/>
      </c>
      <c r="M17" s="7">
        <f>IF(C17="Portrait","1080x1920","1920x1080")</f>
        <v/>
      </c>
      <c r="N17" s="7">
        <f>IF(C17="Portrait","1920x1080","1080x1920")</f>
        <v/>
      </c>
      <c r="O17" s="7">
        <f>IF(B17="","",TEXT(32+E17,"000")&amp;".mp4")</f>
        <v/>
      </c>
      <c r="P17" s="7">
        <f>IF(B17="","",TEXT(F17,"000")&amp;".mp4")</f>
        <v/>
      </c>
      <c r="R17">
        <f>IF(G17="","",IF(G17="Emotions","CAT_EMOTIONS",IF(G17="Realiste","CAT_REALISTE",IF(G17="Matiere","CAT_MATIERE",IF(G17="Conteur","CAT_CONTEUR","CAT_EMOTIONS")))))</f>
        <v/>
      </c>
      <c r="S17">
        <f>IF(H17="","",IF(H17="Emotions","CAT_EMOTIONS",IF(H17="Realiste","CAT_REALISTE",IF(H17="Matiere","CAT_MATIERE",IF(H17="Conteur","CAT_CONTEUR","CAT_EMOTIONS")))))</f>
        <v/>
      </c>
      <c r="T17">
        <f>IF(I17="","",IF(I17="Emotions","CAT_EMOTIONS",IF(I17="Realiste","CAT_REALISTE",IF(I17="Matiere","CAT_MATIERE",IF(I17="Conteur","CAT_CONTEUR","CAT_EMOTIONS")))))</f>
        <v/>
      </c>
      <c r="U17">
        <f>IF(J17="","",IF(J17="Emotions","CAT_EMOTIONS",IF(J17="Realiste","CAT_REALISTE",IF(J17="Matiere","CAT_MATIERE",IF(J17="Conteur","CAT_CONTEUR","CAT_EMOTIONS")))))</f>
        <v/>
      </c>
      <c r="V17">
        <f>IF(B17="","","  { "&amp;E17&amp;", { "&amp;R17&amp;", "&amp;S17&amp;", "&amp;T17&amp;", "&amp;U17&amp;" }, "&amp;C17&amp;" },")</f>
        <v/>
      </c>
    </row>
    <row r="18">
      <c r="A18" s="7">
        <f>IF(B18="","",ROW()-3)</f>
        <v/>
      </c>
      <c r="B18" s="8" t="n"/>
      <c r="C18" s="9" t="inlineStr">
        <is>
          <t>Portrait</t>
        </is>
      </c>
      <c r="D18" s="7">
        <f>IF(C18="Portrait","Landscape","Portrait")</f>
        <v/>
      </c>
      <c r="E18" s="7">
        <f>IF(B18="","",A18)</f>
        <v/>
      </c>
      <c r="F18" s="7">
        <f>E18+0</f>
        <v/>
      </c>
      <c r="G18" s="9" t="n"/>
      <c r="H18" s="9" t="n"/>
      <c r="I18" s="9" t="n"/>
      <c r="J18" s="9" t="n"/>
      <c r="K18" s="7">
        <f>IF(C18="Portrait","WIZ1","WIZ2")</f>
        <v/>
      </c>
      <c r="L18" s="7">
        <f>IF(C18="Portrait","WIZ2","WIZ1")</f>
        <v/>
      </c>
      <c r="M18" s="7">
        <f>IF(C18="Portrait","1080x1920","1920x1080")</f>
        <v/>
      </c>
      <c r="N18" s="7">
        <f>IF(C18="Portrait","1920x1080","1080x1920")</f>
        <v/>
      </c>
      <c r="O18" s="7">
        <f>IF(B18="","",TEXT(32+E18,"000")&amp;".mp4")</f>
        <v/>
      </c>
      <c r="P18" s="7">
        <f>IF(B18="","",TEXT(F18,"000")&amp;".mp4")</f>
        <v/>
      </c>
      <c r="R18">
        <f>IF(G18="","",IF(G18="Emotions","CAT_EMOTIONS",IF(G18="Realiste","CAT_REALISTE",IF(G18="Matiere","CAT_MATIERE",IF(G18="Conteur","CAT_CONTEUR","CAT_EMOTIONS")))))</f>
        <v/>
      </c>
      <c r="S18">
        <f>IF(H18="","",IF(H18="Emotions","CAT_EMOTIONS",IF(H18="Realiste","CAT_REALISTE",IF(H18="Matiere","CAT_MATIERE",IF(H18="Conteur","CAT_CONTEUR","CAT_EMOTIONS")))))</f>
        <v/>
      </c>
      <c r="T18">
        <f>IF(I18="","",IF(I18="Emotions","CAT_EMOTIONS",IF(I18="Realiste","CAT_REALISTE",IF(I18="Matiere","CAT_MATIERE",IF(I18="Conteur","CAT_CONTEUR","CAT_EMOTIONS")))))</f>
        <v/>
      </c>
      <c r="U18">
        <f>IF(J18="","",IF(J18="Emotions","CAT_EMOTIONS",IF(J18="Realiste","CAT_REALISTE",IF(J18="Matiere","CAT_MATIERE",IF(J18="Conteur","CAT_CONTEUR","CAT_EMOTIONS")))))</f>
        <v/>
      </c>
      <c r="V18">
        <f>IF(B18="","","  { "&amp;E18&amp;", { "&amp;R18&amp;", "&amp;S18&amp;", "&amp;T18&amp;", "&amp;U18&amp;" }, "&amp;C18&amp;" },")</f>
        <v/>
      </c>
    </row>
    <row r="19">
      <c r="A19" s="7">
        <f>IF(B19="","",ROW()-3)</f>
        <v/>
      </c>
      <c r="B19" s="8" t="n"/>
      <c r="C19" s="9" t="inlineStr">
        <is>
          <t>Portrait</t>
        </is>
      </c>
      <c r="D19" s="7">
        <f>IF(C19="Portrait","Landscape","Portrait")</f>
        <v/>
      </c>
      <c r="E19" s="7">
        <f>IF(B19="","",A19)</f>
        <v/>
      </c>
      <c r="F19" s="7">
        <f>E19+0</f>
        <v/>
      </c>
      <c r="G19" s="9" t="n"/>
      <c r="H19" s="9" t="n"/>
      <c r="I19" s="9" t="n"/>
      <c r="J19" s="9" t="n"/>
      <c r="K19" s="7">
        <f>IF(C19="Portrait","WIZ1","WIZ2")</f>
        <v/>
      </c>
      <c r="L19" s="7">
        <f>IF(C19="Portrait","WIZ2","WIZ1")</f>
        <v/>
      </c>
      <c r="M19" s="7">
        <f>IF(C19="Portrait","1080x1920","1920x1080")</f>
        <v/>
      </c>
      <c r="N19" s="7">
        <f>IF(C19="Portrait","1920x1080","1080x1920")</f>
        <v/>
      </c>
      <c r="O19" s="7">
        <f>IF(B19="","",TEXT(32+E19,"000")&amp;".mp4")</f>
        <v/>
      </c>
      <c r="P19" s="7">
        <f>IF(B19="","",TEXT(F19,"000")&amp;".mp4")</f>
        <v/>
      </c>
      <c r="R19">
        <f>IF(G19="","",IF(G19="Emotions","CAT_EMOTIONS",IF(G19="Realiste","CAT_REALISTE",IF(G19="Matiere","CAT_MATIERE",IF(G19="Conteur","CAT_CONTEUR","CAT_EMOTIONS")))))</f>
        <v/>
      </c>
      <c r="S19">
        <f>IF(H19="","",IF(H19="Emotions","CAT_EMOTIONS",IF(H19="Realiste","CAT_REALISTE",IF(H19="Matiere","CAT_MATIERE",IF(H19="Conteur","CAT_CONTEUR","CAT_EMOTIONS")))))</f>
        <v/>
      </c>
      <c r="T19">
        <f>IF(I19="","",IF(I19="Emotions","CAT_EMOTIONS",IF(I19="Realiste","CAT_REALISTE",IF(I19="Matiere","CAT_MATIERE",IF(I19="Conteur","CAT_CONTEUR","CAT_EMOTIONS")))))</f>
        <v/>
      </c>
      <c r="U19">
        <f>IF(J19="","",IF(J19="Emotions","CAT_EMOTIONS",IF(J19="Realiste","CAT_REALISTE",IF(J19="Matiere","CAT_MATIERE",IF(J19="Conteur","CAT_CONTEUR","CAT_EMOTIONS")))))</f>
        <v/>
      </c>
      <c r="V19">
        <f>IF(B19="","","  { "&amp;E19&amp;", { "&amp;R19&amp;", "&amp;S19&amp;", "&amp;T19&amp;", "&amp;U19&amp;" }, "&amp;C19&amp;" },")</f>
        <v/>
      </c>
    </row>
    <row r="20">
      <c r="A20" s="7">
        <f>IF(B20="","",ROW()-3)</f>
        <v/>
      </c>
      <c r="B20" s="8" t="n"/>
      <c r="C20" s="9" t="inlineStr">
        <is>
          <t>Portrait</t>
        </is>
      </c>
      <c r="D20" s="7">
        <f>IF(C20="Portrait","Landscape","Portrait")</f>
        <v/>
      </c>
      <c r="E20" s="7">
        <f>IF(B20="","",A20)</f>
        <v/>
      </c>
      <c r="F20" s="7">
        <f>E20+0</f>
        <v/>
      </c>
      <c r="G20" s="9" t="n"/>
      <c r="H20" s="9" t="n"/>
      <c r="I20" s="9" t="n"/>
      <c r="J20" s="9" t="n"/>
      <c r="K20" s="7">
        <f>IF(C20="Portrait","WIZ1","WIZ2")</f>
        <v/>
      </c>
      <c r="L20" s="7">
        <f>IF(C20="Portrait","WIZ2","WIZ1")</f>
        <v/>
      </c>
      <c r="M20" s="7">
        <f>IF(C20="Portrait","1080x1920","1920x1080")</f>
        <v/>
      </c>
      <c r="N20" s="7">
        <f>IF(C20="Portrait","1920x1080","1080x1920")</f>
        <v/>
      </c>
      <c r="O20" s="7">
        <f>IF(B20="","",TEXT(32+E20,"000")&amp;".mp4")</f>
        <v/>
      </c>
      <c r="P20" s="7">
        <f>IF(B20="","",TEXT(F20,"000")&amp;".mp4")</f>
        <v/>
      </c>
      <c r="R20">
        <f>IF(G20="","",IF(G20="Emotions","CAT_EMOTIONS",IF(G20="Realiste","CAT_REALISTE",IF(G20="Matiere","CAT_MATIERE",IF(G20="Conteur","CAT_CONTEUR","CAT_EMOTIONS")))))</f>
        <v/>
      </c>
      <c r="S20">
        <f>IF(H20="","",IF(H20="Emotions","CAT_EMOTIONS",IF(H20="Realiste","CAT_REALISTE",IF(H20="Matiere","CAT_MATIERE",IF(H20="Conteur","CAT_CONTEUR","CAT_EMOTIONS")))))</f>
        <v/>
      </c>
      <c r="T20">
        <f>IF(I20="","",IF(I20="Emotions","CAT_EMOTIONS",IF(I20="Realiste","CAT_REALISTE",IF(I20="Matiere","CAT_MATIERE",IF(I20="Conteur","CAT_CONTEUR","CAT_EMOTIONS")))))</f>
        <v/>
      </c>
      <c r="U20">
        <f>IF(J20="","",IF(J20="Emotions","CAT_EMOTIONS",IF(J20="Realiste","CAT_REALISTE",IF(J20="Matiere","CAT_MATIERE",IF(J20="Conteur","CAT_CONTEUR","CAT_EMOTIONS")))))</f>
        <v/>
      </c>
      <c r="V20">
        <f>IF(B20="","","  { "&amp;E20&amp;", { "&amp;R20&amp;", "&amp;S20&amp;", "&amp;T20&amp;", "&amp;U20&amp;" }, "&amp;C20&amp;" },")</f>
        <v/>
      </c>
    </row>
    <row r="21">
      <c r="A21" s="7">
        <f>IF(B21="","",ROW()-3)</f>
        <v/>
      </c>
      <c r="B21" s="8" t="n"/>
      <c r="C21" s="9" t="inlineStr">
        <is>
          <t>Portrait</t>
        </is>
      </c>
      <c r="D21" s="7">
        <f>IF(C21="Portrait","Landscape","Portrait")</f>
        <v/>
      </c>
      <c r="E21" s="7">
        <f>IF(B21="","",A21)</f>
        <v/>
      </c>
      <c r="F21" s="7">
        <f>E21+0</f>
        <v/>
      </c>
      <c r="G21" s="9" t="n"/>
      <c r="H21" s="9" t="n"/>
      <c r="I21" s="9" t="n"/>
      <c r="J21" s="9" t="n"/>
      <c r="K21" s="7">
        <f>IF(C21="Portrait","WIZ1","WIZ2")</f>
        <v/>
      </c>
      <c r="L21" s="7">
        <f>IF(C21="Portrait","WIZ2","WIZ1")</f>
        <v/>
      </c>
      <c r="M21" s="7">
        <f>IF(C21="Portrait","1080x1920","1920x1080")</f>
        <v/>
      </c>
      <c r="N21" s="7">
        <f>IF(C21="Portrait","1920x1080","1080x1920")</f>
        <v/>
      </c>
      <c r="O21" s="7">
        <f>IF(B21="","",TEXT(32+E21,"000")&amp;".mp4")</f>
        <v/>
      </c>
      <c r="P21" s="7">
        <f>IF(B21="","",TEXT(F21,"000")&amp;".mp4")</f>
        <v/>
      </c>
      <c r="R21">
        <f>IF(G21="","",IF(G21="Emotions","CAT_EMOTIONS",IF(G21="Realiste","CAT_REALISTE",IF(G21="Matiere","CAT_MATIERE",IF(G21="Conteur","CAT_CONTEUR","CAT_EMOTIONS")))))</f>
        <v/>
      </c>
      <c r="S21">
        <f>IF(H21="","",IF(H21="Emotions","CAT_EMOTIONS",IF(H21="Realiste","CAT_REALISTE",IF(H21="Matiere","CAT_MATIERE",IF(H21="Conteur","CAT_CONTEUR","CAT_EMOTIONS")))))</f>
        <v/>
      </c>
      <c r="T21">
        <f>IF(I21="","",IF(I21="Emotions","CAT_EMOTIONS",IF(I21="Realiste","CAT_REALISTE",IF(I21="Matiere","CAT_MATIERE",IF(I21="Conteur","CAT_CONTEUR","CAT_EMOTIONS")))))</f>
        <v/>
      </c>
      <c r="U21">
        <f>IF(J21="","",IF(J21="Emotions","CAT_EMOTIONS",IF(J21="Realiste","CAT_REALISTE",IF(J21="Matiere","CAT_MATIERE",IF(J21="Conteur","CAT_CONTEUR","CAT_EMOTIONS")))))</f>
        <v/>
      </c>
      <c r="V21">
        <f>IF(B21="","","  { "&amp;E21&amp;", { "&amp;R21&amp;", "&amp;S21&amp;", "&amp;T21&amp;", "&amp;U21&amp;" }, "&amp;C21&amp;" },")</f>
        <v/>
      </c>
    </row>
    <row r="22">
      <c r="A22" s="7">
        <f>IF(B22="","",ROW()-3)</f>
        <v/>
      </c>
      <c r="B22" s="8" t="n"/>
      <c r="C22" s="9" t="inlineStr">
        <is>
          <t>Portrait</t>
        </is>
      </c>
      <c r="D22" s="7">
        <f>IF(C22="Portrait","Landscape","Portrait")</f>
        <v/>
      </c>
      <c r="E22" s="7">
        <f>IF(B22="","",A22)</f>
        <v/>
      </c>
      <c r="F22" s="7">
        <f>E22+0</f>
        <v/>
      </c>
      <c r="G22" s="9" t="n"/>
      <c r="H22" s="9" t="n"/>
      <c r="I22" s="9" t="n"/>
      <c r="J22" s="9" t="n"/>
      <c r="K22" s="7">
        <f>IF(C22="Portrait","WIZ1","WIZ2")</f>
        <v/>
      </c>
      <c r="L22" s="7">
        <f>IF(C22="Portrait","WIZ2","WIZ1")</f>
        <v/>
      </c>
      <c r="M22" s="7">
        <f>IF(C22="Portrait","1080x1920","1920x1080")</f>
        <v/>
      </c>
      <c r="N22" s="7">
        <f>IF(C22="Portrait","1920x1080","1080x1920")</f>
        <v/>
      </c>
      <c r="O22" s="7">
        <f>IF(B22="","",TEXT(32+E22,"000")&amp;".mp4")</f>
        <v/>
      </c>
      <c r="P22" s="7">
        <f>IF(B22="","",TEXT(F22,"000")&amp;".mp4")</f>
        <v/>
      </c>
      <c r="R22">
        <f>IF(G22="","",IF(G22="Emotions","CAT_EMOTIONS",IF(G22="Realiste","CAT_REALISTE",IF(G22="Matiere","CAT_MATIERE",IF(G22="Conteur","CAT_CONTEUR","CAT_EMOTIONS")))))</f>
        <v/>
      </c>
      <c r="S22">
        <f>IF(H22="","",IF(H22="Emotions","CAT_EMOTIONS",IF(H22="Realiste","CAT_REALISTE",IF(H22="Matiere","CAT_MATIERE",IF(H22="Conteur","CAT_CONTEUR","CAT_EMOTIONS")))))</f>
        <v/>
      </c>
      <c r="T22">
        <f>IF(I22="","",IF(I22="Emotions","CAT_EMOTIONS",IF(I22="Realiste","CAT_REALISTE",IF(I22="Matiere","CAT_MATIERE",IF(I22="Conteur","CAT_CONTEUR","CAT_EMOTIONS")))))</f>
        <v/>
      </c>
      <c r="U22">
        <f>IF(J22="","",IF(J22="Emotions","CAT_EMOTIONS",IF(J22="Realiste","CAT_REALISTE",IF(J22="Matiere","CAT_MATIERE",IF(J22="Conteur","CAT_CONTEUR","CAT_EMOTIONS")))))</f>
        <v/>
      </c>
      <c r="V22">
        <f>IF(B22="","","  { "&amp;E22&amp;", { "&amp;R22&amp;", "&amp;S22&amp;", "&amp;T22&amp;", "&amp;U22&amp;" }, "&amp;C22&amp;" },")</f>
        <v/>
      </c>
    </row>
    <row r="23">
      <c r="A23" s="7">
        <f>IF(B23="","",ROW()-3)</f>
        <v/>
      </c>
      <c r="B23" s="8" t="n"/>
      <c r="C23" s="9" t="inlineStr">
        <is>
          <t>Portrait</t>
        </is>
      </c>
      <c r="D23" s="7">
        <f>IF(C23="Portrait","Landscape","Portrait")</f>
        <v/>
      </c>
      <c r="E23" s="7">
        <f>IF(B23="","",A23)</f>
        <v/>
      </c>
      <c r="F23" s="7">
        <f>E23+0</f>
        <v/>
      </c>
      <c r="G23" s="9" t="n"/>
      <c r="H23" s="9" t="n"/>
      <c r="I23" s="9" t="n"/>
      <c r="J23" s="9" t="n"/>
      <c r="K23" s="7">
        <f>IF(C23="Portrait","WIZ1","WIZ2")</f>
        <v/>
      </c>
      <c r="L23" s="7">
        <f>IF(C23="Portrait","WIZ2","WIZ1")</f>
        <v/>
      </c>
      <c r="M23" s="7">
        <f>IF(C23="Portrait","1080x1920","1920x1080")</f>
        <v/>
      </c>
      <c r="N23" s="7">
        <f>IF(C23="Portrait","1920x1080","1080x1920")</f>
        <v/>
      </c>
      <c r="O23" s="7">
        <f>IF(B23="","",TEXT(32+E23,"000")&amp;".mp4")</f>
        <v/>
      </c>
      <c r="P23" s="7">
        <f>IF(B23="","",TEXT(F23,"000")&amp;".mp4")</f>
        <v/>
      </c>
      <c r="R23">
        <f>IF(G23="","",IF(G23="Emotions","CAT_EMOTIONS",IF(G23="Realiste","CAT_REALISTE",IF(G23="Matiere","CAT_MATIERE",IF(G23="Conteur","CAT_CONTEUR","CAT_EMOTIONS")))))</f>
        <v/>
      </c>
      <c r="S23">
        <f>IF(H23="","",IF(H23="Emotions","CAT_EMOTIONS",IF(H23="Realiste","CAT_REALISTE",IF(H23="Matiere","CAT_MATIERE",IF(H23="Conteur","CAT_CONTEUR","CAT_EMOTIONS")))))</f>
        <v/>
      </c>
      <c r="T23">
        <f>IF(I23="","",IF(I23="Emotions","CAT_EMOTIONS",IF(I23="Realiste","CAT_REALISTE",IF(I23="Matiere","CAT_MATIERE",IF(I23="Conteur","CAT_CONTEUR","CAT_EMOTIONS")))))</f>
        <v/>
      </c>
      <c r="U23">
        <f>IF(J23="","",IF(J23="Emotions","CAT_EMOTIONS",IF(J23="Realiste","CAT_REALISTE",IF(J23="Matiere","CAT_MATIERE",IF(J23="Conteur","CAT_CONTEUR","CAT_EMOTIONS")))))</f>
        <v/>
      </c>
      <c r="V23">
        <f>IF(B23="","","  { "&amp;E23&amp;", { "&amp;R23&amp;", "&amp;S23&amp;", "&amp;T23&amp;", "&amp;U23&amp;" }, "&amp;C23&amp;" },")</f>
        <v/>
      </c>
    </row>
    <row r="24">
      <c r="A24" s="7">
        <f>IF(B24="","",ROW()-3)</f>
        <v/>
      </c>
      <c r="B24" s="8" t="n"/>
      <c r="C24" s="9" t="inlineStr">
        <is>
          <t>Portrait</t>
        </is>
      </c>
      <c r="D24" s="7">
        <f>IF(C24="Portrait","Landscape","Portrait")</f>
        <v/>
      </c>
      <c r="E24" s="7">
        <f>IF(B24="","",A24)</f>
        <v/>
      </c>
      <c r="F24" s="7">
        <f>E24+0</f>
        <v/>
      </c>
      <c r="G24" s="9" t="n"/>
      <c r="H24" s="9" t="n"/>
      <c r="I24" s="9" t="n"/>
      <c r="J24" s="9" t="n"/>
      <c r="K24" s="7">
        <f>IF(C24="Portrait","WIZ1","WIZ2")</f>
        <v/>
      </c>
      <c r="L24" s="7">
        <f>IF(C24="Portrait","WIZ2","WIZ1")</f>
        <v/>
      </c>
      <c r="M24" s="7">
        <f>IF(C24="Portrait","1080x1920","1920x1080")</f>
        <v/>
      </c>
      <c r="N24" s="7">
        <f>IF(C24="Portrait","1920x1080","1080x1920")</f>
        <v/>
      </c>
      <c r="O24" s="7">
        <f>IF(B24="","",TEXT(32+E24,"000")&amp;".mp4")</f>
        <v/>
      </c>
      <c r="P24" s="7">
        <f>IF(B24="","",TEXT(F24,"000")&amp;".mp4")</f>
        <v/>
      </c>
      <c r="R24">
        <f>IF(G24="","",IF(G24="Emotions","CAT_EMOTIONS",IF(G24="Realiste","CAT_REALISTE",IF(G24="Matiere","CAT_MATIERE",IF(G24="Conteur","CAT_CONTEUR","CAT_EMOTIONS")))))</f>
        <v/>
      </c>
      <c r="S24">
        <f>IF(H24="","",IF(H24="Emotions","CAT_EMOTIONS",IF(H24="Realiste","CAT_REALISTE",IF(H24="Matiere","CAT_MATIERE",IF(H24="Conteur","CAT_CONTEUR","CAT_EMOTIONS")))))</f>
        <v/>
      </c>
      <c r="T24">
        <f>IF(I24="","",IF(I24="Emotions","CAT_EMOTIONS",IF(I24="Realiste","CAT_REALISTE",IF(I24="Matiere","CAT_MATIERE",IF(I24="Conteur","CAT_CONTEUR","CAT_EMOTIONS")))))</f>
        <v/>
      </c>
      <c r="U24">
        <f>IF(J24="","",IF(J24="Emotions","CAT_EMOTIONS",IF(J24="Realiste","CAT_REALISTE",IF(J24="Matiere","CAT_MATIERE",IF(J24="Conteur","CAT_CONTEUR","CAT_EMOTIONS")))))</f>
        <v/>
      </c>
      <c r="V24">
        <f>IF(B24="","","  { "&amp;E24&amp;", { "&amp;R24&amp;", "&amp;S24&amp;", "&amp;T24&amp;", "&amp;U24&amp;" }, "&amp;C24&amp;" },")</f>
        <v/>
      </c>
    </row>
    <row r="25">
      <c r="A25" s="7">
        <f>IF(B25="","",ROW()-3)</f>
        <v/>
      </c>
      <c r="B25" s="8" t="n"/>
      <c r="C25" s="9" t="inlineStr">
        <is>
          <t>Portrait</t>
        </is>
      </c>
      <c r="D25" s="7">
        <f>IF(C25="Portrait","Landscape","Portrait")</f>
        <v/>
      </c>
      <c r="E25" s="7">
        <f>IF(B25="","",A25)</f>
        <v/>
      </c>
      <c r="F25" s="7">
        <f>E25+0</f>
        <v/>
      </c>
      <c r="G25" s="9" t="n"/>
      <c r="H25" s="9" t="n"/>
      <c r="I25" s="9" t="n"/>
      <c r="J25" s="9" t="n"/>
      <c r="K25" s="7">
        <f>IF(C25="Portrait","WIZ1","WIZ2")</f>
        <v/>
      </c>
      <c r="L25" s="7">
        <f>IF(C25="Portrait","WIZ2","WIZ1")</f>
        <v/>
      </c>
      <c r="M25" s="7">
        <f>IF(C25="Portrait","1080x1920","1920x1080")</f>
        <v/>
      </c>
      <c r="N25" s="7">
        <f>IF(C25="Portrait","1920x1080","1080x1920")</f>
        <v/>
      </c>
      <c r="O25" s="7">
        <f>IF(B25="","",TEXT(32+E25,"000")&amp;".mp4")</f>
        <v/>
      </c>
      <c r="P25" s="7">
        <f>IF(B25="","",TEXT(F25,"000")&amp;".mp4")</f>
        <v/>
      </c>
      <c r="R25">
        <f>IF(G25="","",IF(G25="Emotions","CAT_EMOTIONS",IF(G25="Realiste","CAT_REALISTE",IF(G25="Matiere","CAT_MATIERE",IF(G25="Conteur","CAT_CONTEUR","CAT_EMOTIONS")))))</f>
        <v/>
      </c>
      <c r="S25">
        <f>IF(H25="","",IF(H25="Emotions","CAT_EMOTIONS",IF(H25="Realiste","CAT_REALISTE",IF(H25="Matiere","CAT_MATIERE",IF(H25="Conteur","CAT_CONTEUR","CAT_EMOTIONS")))))</f>
        <v/>
      </c>
      <c r="T25">
        <f>IF(I25="","",IF(I25="Emotions","CAT_EMOTIONS",IF(I25="Realiste","CAT_REALISTE",IF(I25="Matiere","CAT_MATIERE",IF(I25="Conteur","CAT_CONTEUR","CAT_EMOTIONS")))))</f>
        <v/>
      </c>
      <c r="U25">
        <f>IF(J25="","",IF(J25="Emotions","CAT_EMOTIONS",IF(J25="Realiste","CAT_REALISTE",IF(J25="Matiere","CAT_MATIERE",IF(J25="Conteur","CAT_CONTEUR","CAT_EMOTIONS")))))</f>
        <v/>
      </c>
      <c r="V25">
        <f>IF(B25="","","  { "&amp;E25&amp;", { "&amp;R25&amp;", "&amp;S25&amp;", "&amp;T25&amp;", "&amp;U25&amp;" }, "&amp;C25&amp;" },")</f>
        <v/>
      </c>
    </row>
    <row r="26">
      <c r="A26" s="7">
        <f>IF(B26="","",ROW()-3)</f>
        <v/>
      </c>
      <c r="B26" s="8" t="n"/>
      <c r="C26" s="9" t="inlineStr">
        <is>
          <t>Portrait</t>
        </is>
      </c>
      <c r="D26" s="7">
        <f>IF(C26="Portrait","Landscape","Portrait")</f>
        <v/>
      </c>
      <c r="E26" s="7">
        <f>IF(B26="","",A26)</f>
        <v/>
      </c>
      <c r="F26" s="7">
        <f>E26+0</f>
        <v/>
      </c>
      <c r="G26" s="9" t="n"/>
      <c r="H26" s="9" t="n"/>
      <c r="I26" s="9" t="n"/>
      <c r="J26" s="9" t="n"/>
      <c r="K26" s="7">
        <f>IF(C26="Portrait","WIZ1","WIZ2")</f>
        <v/>
      </c>
      <c r="L26" s="7">
        <f>IF(C26="Portrait","WIZ2","WIZ1")</f>
        <v/>
      </c>
      <c r="M26" s="7">
        <f>IF(C26="Portrait","1080x1920","1920x1080")</f>
        <v/>
      </c>
      <c r="N26" s="7">
        <f>IF(C26="Portrait","1920x1080","1080x1920")</f>
        <v/>
      </c>
      <c r="O26" s="7">
        <f>IF(B26="","",TEXT(32+E26,"000")&amp;".mp4")</f>
        <v/>
      </c>
      <c r="P26" s="7">
        <f>IF(B26="","",TEXT(F26,"000")&amp;".mp4")</f>
        <v/>
      </c>
      <c r="R26">
        <f>IF(G26="","",IF(G26="Emotions","CAT_EMOTIONS",IF(G26="Realiste","CAT_REALISTE",IF(G26="Matiere","CAT_MATIERE",IF(G26="Conteur","CAT_CONTEUR","CAT_EMOTIONS")))))</f>
        <v/>
      </c>
      <c r="S26">
        <f>IF(H26="","",IF(H26="Emotions","CAT_EMOTIONS",IF(H26="Realiste","CAT_REALISTE",IF(H26="Matiere","CAT_MATIERE",IF(H26="Conteur","CAT_CONTEUR","CAT_EMOTIONS")))))</f>
        <v/>
      </c>
      <c r="T26">
        <f>IF(I26="","",IF(I26="Emotions","CAT_EMOTIONS",IF(I26="Realiste","CAT_REALISTE",IF(I26="Matiere","CAT_MATIERE",IF(I26="Conteur","CAT_CONTEUR","CAT_EMOTIONS")))))</f>
        <v/>
      </c>
      <c r="U26">
        <f>IF(J26="","",IF(J26="Emotions","CAT_EMOTIONS",IF(J26="Realiste","CAT_REALISTE",IF(J26="Matiere","CAT_MATIERE",IF(J26="Conteur","CAT_CONTEUR","CAT_EMOTIONS")))))</f>
        <v/>
      </c>
      <c r="V26">
        <f>IF(B26="","","  { "&amp;E26&amp;", { "&amp;R26&amp;", "&amp;S26&amp;", "&amp;T26&amp;", "&amp;U26&amp;" }, "&amp;C26&amp;" },")</f>
        <v/>
      </c>
    </row>
    <row r="27">
      <c r="A27" s="7">
        <f>IF(B27="","",ROW()-3)</f>
        <v/>
      </c>
      <c r="B27" s="8" t="n"/>
      <c r="C27" s="9" t="inlineStr">
        <is>
          <t>Portrait</t>
        </is>
      </c>
      <c r="D27" s="7">
        <f>IF(C27="Portrait","Landscape","Portrait")</f>
        <v/>
      </c>
      <c r="E27" s="7">
        <f>IF(B27="","",A27)</f>
        <v/>
      </c>
      <c r="F27" s="7">
        <f>E27+0</f>
        <v/>
      </c>
      <c r="G27" s="9" t="n"/>
      <c r="H27" s="9" t="n"/>
      <c r="I27" s="9" t="n"/>
      <c r="J27" s="9" t="n"/>
      <c r="K27" s="7">
        <f>IF(C27="Portrait","WIZ1","WIZ2")</f>
        <v/>
      </c>
      <c r="L27" s="7">
        <f>IF(C27="Portrait","WIZ2","WIZ1")</f>
        <v/>
      </c>
      <c r="M27" s="7">
        <f>IF(C27="Portrait","1080x1920","1920x1080")</f>
        <v/>
      </c>
      <c r="N27" s="7">
        <f>IF(C27="Portrait","1920x1080","1080x1920")</f>
        <v/>
      </c>
      <c r="O27" s="7">
        <f>IF(B27="","",TEXT(32+E27,"000")&amp;".mp4")</f>
        <v/>
      </c>
      <c r="P27" s="7">
        <f>IF(B27="","",TEXT(F27,"000")&amp;".mp4")</f>
        <v/>
      </c>
      <c r="R27">
        <f>IF(G27="","",IF(G27="Emotions","CAT_EMOTIONS",IF(G27="Realiste","CAT_REALISTE",IF(G27="Matiere","CAT_MATIERE",IF(G27="Conteur","CAT_CONTEUR","CAT_EMOTIONS")))))</f>
        <v/>
      </c>
      <c r="S27">
        <f>IF(H27="","",IF(H27="Emotions","CAT_EMOTIONS",IF(H27="Realiste","CAT_REALISTE",IF(H27="Matiere","CAT_MATIERE",IF(H27="Conteur","CAT_CONTEUR","CAT_EMOTIONS")))))</f>
        <v/>
      </c>
      <c r="T27">
        <f>IF(I27="","",IF(I27="Emotions","CAT_EMOTIONS",IF(I27="Realiste","CAT_REALISTE",IF(I27="Matiere","CAT_MATIERE",IF(I27="Conteur","CAT_CONTEUR","CAT_EMOTIONS")))))</f>
        <v/>
      </c>
      <c r="U27">
        <f>IF(J27="","",IF(J27="Emotions","CAT_EMOTIONS",IF(J27="Realiste","CAT_REALISTE",IF(J27="Matiere","CAT_MATIERE",IF(J27="Conteur","CAT_CONTEUR","CAT_EMOTIONS")))))</f>
        <v/>
      </c>
      <c r="V27">
        <f>IF(B27="","","  { "&amp;E27&amp;", { "&amp;R27&amp;", "&amp;S27&amp;", "&amp;T27&amp;", "&amp;U27&amp;" }, "&amp;C27&amp;" },")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2"/>
  </mergeCells>
  <dataValidations count="5">
    <dataValidation sqref="C4:C27" showDropDown="0" showInputMessage="0" showErrorMessage="0" allowBlank="0" errorTitle="Invalid value" error="Choose a value from the list." type="list">
      <formula1>"Portrait,Landscape"</formula1>
    </dataValidation>
    <dataValidation sqref="G4:G27" showDropDown="0" showInputMessage="0" showErrorMessage="0" allowBlank="0" errorTitle="Invalid value" error="Choose a value from the list." type="list">
      <formula1>"Emotions,Realiste,Matiere,Conteur"</formula1>
    </dataValidation>
    <dataValidation sqref="H4:H27" showDropDown="0" showInputMessage="0" showErrorMessage="0" allowBlank="0" errorTitle="Invalid value" error="Choose a value from the list." type="list">
      <formula1>"Emotions,Realiste,Matiere,Conteur"</formula1>
    </dataValidation>
    <dataValidation sqref="I4:I27" showDropDown="0" showInputMessage="0" showErrorMessage="0" allowBlank="0" errorTitle="Invalid value" error="Choose a value from the list." type="list">
      <formula1>"Emotions,Realiste,Matiere,Conteur"</formula1>
    </dataValidation>
    <dataValidation sqref="J4:J27" showDropDown="0" showInputMessage="0" showErrorMessage="0" allowBlank="0" errorTitle="Invalid value" error="Choose a value from the list." type="list">
      <formula1>"Emotions,Realiste,Matiere,Conteur"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SD card - WIZ1 portrait display</t>
        </is>
      </c>
    </row>
    <row r="2">
      <c r="A2" s="4" t="inlineStr">
        <is>
          <t>Copy each file to this SD card using the exact name shown. Encode each row at the Aspect shown (portrait 1080x1920 or landscape 1920x1080). Text rows list all 4 languages.</t>
        </is>
      </c>
    </row>
    <row r="3">
      <c r="A3" s="5" t="inlineStr">
        <is>
          <t>Role</t>
        </is>
      </c>
      <c r="B3" s="5" t="inlineStr">
        <is>
          <t>Quiz ref</t>
        </is>
      </c>
      <c r="C3" s="6" t="inlineStr">
        <is>
          <t>File index</t>
        </is>
      </c>
      <c r="D3" s="5" t="inlineStr">
        <is>
          <t>Content</t>
        </is>
      </c>
      <c r="E3" s="5" t="inlineStr">
        <is>
          <t>Aspect</t>
        </is>
      </c>
      <c r="F3" s="10" t="inlineStr">
        <is>
          <t>EN file</t>
        </is>
      </c>
      <c r="G3" s="10" t="inlineStr">
        <is>
          <t>FR file</t>
        </is>
      </c>
      <c r="H3" s="10" t="inlineStr">
        <is>
          <t>DE file</t>
        </is>
      </c>
      <c r="I3" s="10" t="inlineStr">
        <is>
          <t>IT file</t>
        </is>
      </c>
    </row>
    <row r="4">
      <c r="A4" s="11" t="inlineStr">
        <is>
          <t>Idle intro text</t>
        </is>
      </c>
      <c r="B4" s="11" t="inlineStr">
        <is>
          <t>-</t>
        </is>
      </c>
      <c r="C4" s="9" t="n">
        <v>0</v>
      </c>
      <c r="D4" s="12" t="inlineStr">
        <is>
          <t>Title + intro (all languages)</t>
        </is>
      </c>
      <c r="E4" s="7" t="inlineStr">
        <is>
          <t>1080x1920</t>
        </is>
      </c>
      <c r="F4" s="7">
        <f>IF(C4="","",TEXT(32*0+C4,"000")&amp;".mp4")</f>
        <v/>
      </c>
      <c r="G4" s="7">
        <f>IF(C4="","",TEXT(32*1+C4,"000")&amp;".mp4")</f>
        <v/>
      </c>
      <c r="H4" s="7">
        <f>IF(C4="","",TEXT(32*2+C4,"000")&amp;".mp4")</f>
        <v/>
      </c>
      <c r="I4" s="7">
        <f>IF(C4="","",TEXT(32*3+C4,"000")&amp;".mp4")</f>
        <v/>
      </c>
    </row>
    <row r="5">
      <c r="A5" s="11" t="inlineStr">
        <is>
          <t>Artwork Q1</t>
        </is>
      </c>
      <c r="B5" s="11" t="inlineStr">
        <is>
          <t>Q1</t>
        </is>
      </c>
      <c r="C5" s="9" t="n">
        <v>1</v>
      </c>
      <c r="D5" s="12" t="inlineStr">
        <is>
          <t>Caravaggio - Supper at Emmaus (art on portrait screen)</t>
        </is>
      </c>
      <c r="E5" s="7" t="inlineStr">
        <is>
          <t>1080x1920</t>
        </is>
      </c>
      <c r="F5" s="7">
        <f>IF(C5="","",TEXT(C5,"000")&amp;".mp4")</f>
        <v/>
      </c>
    </row>
    <row r="6">
      <c r="A6" s="11" t="inlineStr">
        <is>
          <t>Question text Q2</t>
        </is>
      </c>
      <c r="B6" s="11" t="inlineStr">
        <is>
          <t>Q2</t>
        </is>
      </c>
      <c r="C6" s="9" t="n">
        <v>2</v>
      </c>
      <c r="D6" s="12" t="inlineStr">
        <is>
          <t>Monet - Rouen Cathedrals (question on portrait screen)</t>
        </is>
      </c>
      <c r="E6" s="7" t="inlineStr">
        <is>
          <t>1080x1920</t>
        </is>
      </c>
      <c r="F6" s="7">
        <f>IF(C6="","",TEXT(32*0+C6,"000")&amp;".mp4")</f>
        <v/>
      </c>
      <c r="G6" s="7">
        <f>IF(C6="","",TEXT(32*1+C6,"000")&amp;".mp4")</f>
        <v/>
      </c>
      <c r="H6" s="7">
        <f>IF(C6="","",TEXT(32*2+C6,"000")&amp;".mp4")</f>
        <v/>
      </c>
      <c r="I6" s="7">
        <f>IF(C6="","",TEXT(32*3+C6,"000")&amp;".mp4")</f>
        <v/>
      </c>
    </row>
    <row r="7">
      <c r="A7" s="11" t="inlineStr">
        <is>
          <t>Question text Q3</t>
        </is>
      </c>
      <c r="B7" s="11" t="inlineStr">
        <is>
          <t>Q3</t>
        </is>
      </c>
      <c r="C7" s="9" t="n">
        <v>3</v>
      </c>
      <c r="D7" s="12" t="inlineStr">
        <is>
          <t>Magritte - Empire of Light (question on portrait screen)</t>
        </is>
      </c>
      <c r="E7" s="7" t="inlineStr">
        <is>
          <t>1080x1920</t>
        </is>
      </c>
      <c r="F7" s="7">
        <f>IF(C7="","",TEXT(32*0+C7,"000")&amp;".mp4")</f>
        <v/>
      </c>
      <c r="G7" s="7">
        <f>IF(C7="","",TEXT(32*1+C7,"000")&amp;".mp4")</f>
        <v/>
      </c>
      <c r="H7" s="7">
        <f>IF(C7="","",TEXT(32*2+C7,"000")&amp;".mp4")</f>
        <v/>
      </c>
      <c r="I7" s="7">
        <f>IF(C7="","",TEXT(32*3+C7,"000")&amp;".mp4")</f>
        <v/>
      </c>
    </row>
    <row r="8">
      <c r="A8" s="11" t="inlineStr">
        <is>
          <t>Artwork Q4</t>
        </is>
      </c>
      <c r="B8" s="11" t="inlineStr">
        <is>
          <t>Q4</t>
        </is>
      </c>
      <c r="C8" s="9" t="n">
        <v>4</v>
      </c>
      <c r="D8" s="12" t="inlineStr">
        <is>
          <t>Delaunay / Kirchner - night landscape (art on portrait screen)</t>
        </is>
      </c>
      <c r="E8" s="7" t="inlineStr">
        <is>
          <t>1080x1920</t>
        </is>
      </c>
      <c r="F8" s="7">
        <f>IF(C8="","",TEXT(C8,"000")&amp;".mp4")</f>
        <v/>
      </c>
    </row>
    <row r="9">
      <c r="A9" s="11" t="inlineStr">
        <is>
          <t>Artwork Q5</t>
        </is>
      </c>
      <c r="B9" s="11" t="inlineStr">
        <is>
          <t>Q5</t>
        </is>
      </c>
      <c r="C9" s="9" t="n">
        <v>5</v>
      </c>
      <c r="D9" s="12" t="inlineStr">
        <is>
          <t>Van Gogh - Starry Night (art on portrait screen)</t>
        </is>
      </c>
      <c r="E9" s="7" t="inlineStr">
        <is>
          <t>1080x1920</t>
        </is>
      </c>
      <c r="F9" s="7">
        <f>IF(C9="","",TEXT(C9,"000")&amp;".mp4")</f>
        <v/>
      </c>
    </row>
    <row r="10">
      <c r="A10" s="11" t="inlineStr">
        <is>
          <t>Artwork Q6</t>
        </is>
      </c>
      <c r="B10" s="11" t="inlineStr">
        <is>
          <t>Q6</t>
        </is>
      </c>
      <c r="C10" s="9" t="n">
        <v>6</v>
      </c>
      <c r="D10" s="12" t="inlineStr">
        <is>
          <t>Hopper - Nighthawks (Q6A) (art on portrait screen)</t>
        </is>
      </c>
      <c r="E10" s="7" t="inlineStr">
        <is>
          <t>1080x1920</t>
        </is>
      </c>
      <c r="F10" s="7">
        <f>IF(C10="","",TEXT(C10,"000")&amp;".mp4")</f>
        <v/>
      </c>
    </row>
    <row r="11">
      <c r="A11" s="11" t="inlineStr">
        <is>
          <t>Artwork Q7</t>
        </is>
      </c>
      <c r="B11" s="11" t="inlineStr">
        <is>
          <t>Q7</t>
        </is>
      </c>
      <c r="C11" s="9" t="n">
        <v>7</v>
      </c>
      <c r="D11" s="12" t="inlineStr">
        <is>
          <t>Hopper - Night Windows (Q6B) (art on portrait screen)</t>
        </is>
      </c>
      <c r="E11" s="7" t="inlineStr">
        <is>
          <t>1080x1920</t>
        </is>
      </c>
      <c r="F11" s="7">
        <f>IF(C11="","",TEXT(C11,"000")&amp;".mp4")</f>
        <v/>
      </c>
    </row>
    <row r="12">
      <c r="A12" s="11" t="inlineStr">
        <is>
          <t>Question text Q8</t>
        </is>
      </c>
      <c r="B12" s="11" t="inlineStr">
        <is>
          <t>Q8</t>
        </is>
      </c>
      <c r="C12" s="9" t="n">
        <v>8</v>
      </c>
      <c r="D12" s="12" t="inlineStr">
        <is>
          <t>Photo - Sudek / Brassai (Q7) (question on portrait screen)</t>
        </is>
      </c>
      <c r="E12" s="7" t="inlineStr">
        <is>
          <t>1080x1920</t>
        </is>
      </c>
      <c r="F12" s="7">
        <f>IF(C12="","",TEXT(32*0+C12,"000")&amp;".mp4")</f>
        <v/>
      </c>
      <c r="G12" s="7">
        <f>IF(C12="","",TEXT(32*1+C12,"000")&amp;".mp4")</f>
        <v/>
      </c>
      <c r="H12" s="7">
        <f>IF(C12="","",TEXT(32*2+C12,"000")&amp;".mp4")</f>
        <v/>
      </c>
      <c r="I12" s="7">
        <f>IF(C12="","",TEXT(32*3+C12,"000")&amp;".mp4")</f>
        <v/>
      </c>
    </row>
    <row r="13">
      <c r="A13" s="11" t="inlineStr">
        <is>
          <t>Artwork Q9</t>
        </is>
      </c>
      <c r="B13" s="11" t="inlineStr">
        <is>
          <t>Q9</t>
        </is>
      </c>
      <c r="C13" s="9" t="n">
        <v>9</v>
      </c>
      <c r="D13" s="12" t="inlineStr">
        <is>
          <t>Fuseli - The Nightmare (art on portrait screen)</t>
        </is>
      </c>
      <c r="E13" s="7" t="inlineStr">
        <is>
          <t>1080x1920</t>
        </is>
      </c>
      <c r="F13" s="7">
        <f>IF(C13="","",TEXT(C13,"000")&amp;".mp4")</f>
        <v/>
      </c>
    </row>
    <row r="14">
      <c r="A14" s="11" t="inlineStr">
        <is>
          <t>Artwork Q10</t>
        </is>
      </c>
      <c r="B14" s="11" t="inlineStr">
        <is>
          <t>Q10</t>
        </is>
      </c>
      <c r="C14" s="9" t="n">
        <v>10</v>
      </c>
      <c r="D14" s="12" t="inlineStr">
        <is>
          <t>Soulages - Outrenoir (art on portrait screen)</t>
        </is>
      </c>
      <c r="E14" s="7" t="inlineStr">
        <is>
          <t>1080x1920</t>
        </is>
      </c>
      <c r="F14" s="7">
        <f>IF(C14="","",TEXT(C14,"000")&amp;".mp4")</f>
        <v/>
      </c>
    </row>
    <row r="15">
      <c r="A15" s="11" t="inlineStr">
        <is>
          <t>Question text Q11</t>
        </is>
      </c>
      <c r="B15" s="11" t="inlineStr">
        <is>
          <t>Q11</t>
        </is>
      </c>
      <c r="C15" s="9" t="n">
        <v>11</v>
      </c>
      <c r="D15" s="12" t="inlineStr">
        <is>
          <t>Vallotton - The Bibliophile (question on portrait screen)</t>
        </is>
      </c>
      <c r="E15" s="7" t="inlineStr">
        <is>
          <t>1080x1920</t>
        </is>
      </c>
      <c r="F15" s="7">
        <f>IF(C15="","",TEXT(32*0+C15,"000")&amp;".mp4")</f>
        <v/>
      </c>
      <c r="G15" s="7">
        <f>IF(C15="","",TEXT(32*1+C15,"000")&amp;".mp4")</f>
        <v/>
      </c>
      <c r="H15" s="7">
        <f>IF(C15="","",TEXT(32*2+C15,"000")&amp;".mp4")</f>
        <v/>
      </c>
      <c r="I15" s="7">
        <f>IF(C15="","",TEXT(32*3+C15,"000")&amp;".mp4")</f>
        <v/>
      </c>
    </row>
    <row r="16">
      <c r="A16" s="11" t="inlineStr">
        <is>
          <t>Artwork Q12</t>
        </is>
      </c>
      <c r="B16" s="11" t="inlineStr">
        <is>
          <t>Q12</t>
        </is>
      </c>
      <c r="C16" s="9" t="n">
        <v>12</v>
      </c>
      <c r="D16" s="12" t="inlineStr">
        <is>
          <t>Grandville - Cast Shadows (art on portrait screen)</t>
        </is>
      </c>
      <c r="E16" s="7" t="inlineStr">
        <is>
          <t>1080x1920</t>
        </is>
      </c>
      <c r="F16" s="7">
        <f>IF(C16="","",TEXT(C16,"000")&amp;".mp4")</f>
        <v/>
      </c>
    </row>
    <row r="17">
      <c r="A17" s="11" t="inlineStr">
        <is>
          <t>Question text Q13</t>
        </is>
      </c>
      <c r="B17" s="11" t="inlineStr">
        <is>
          <t>Q13</t>
        </is>
      </c>
      <c r="C17" s="9" t="n">
        <v>13</v>
      </c>
      <c r="D17" s="12" t="inlineStr">
        <is>
          <t>Your work - final 4 motifs Q12 (question on portrait screen)</t>
        </is>
      </c>
      <c r="E17" s="7" t="inlineStr">
        <is>
          <t>1080x1920</t>
        </is>
      </c>
      <c r="F17" s="7">
        <f>IF(C17="","",TEXT(32*0+C17,"000")&amp;".mp4")</f>
        <v/>
      </c>
      <c r="G17" s="7">
        <f>IF(C17="","",TEXT(32*1+C17,"000")&amp;".mp4")</f>
        <v/>
      </c>
      <c r="H17" s="7">
        <f>IF(C17="","",TEXT(32*2+C17,"000")&amp;".mp4")</f>
        <v/>
      </c>
      <c r="I17" s="7">
        <f>IF(C17="","",TEXT(32*3+C17,"000")&amp;".mp4")</f>
        <v/>
      </c>
    </row>
    <row r="18">
      <c r="A18" s="11" t="inlineStr">
        <is>
          <t>Profile Emotions</t>
        </is>
      </c>
      <c r="B18" s="11" t="inlineStr">
        <is>
          <t>-</t>
        </is>
      </c>
      <c r="C18" s="9" t="n">
        <v>17</v>
      </c>
      <c r="D18" s="12" t="inlineStr">
        <is>
          <t>Result text - poetic / emotions</t>
        </is>
      </c>
      <c r="E18" s="7" t="inlineStr">
        <is>
          <t>1080x1920</t>
        </is>
      </c>
      <c r="F18" s="7">
        <f>IF(C18="","",TEXT(32*0+C18,"000")&amp;".mp4")</f>
        <v/>
      </c>
      <c r="G18" s="7">
        <f>IF(C18="","",TEXT(32*1+C18,"000")&amp;".mp4")</f>
        <v/>
      </c>
      <c r="H18" s="7">
        <f>IF(C18="","",TEXT(32*2+C18,"000")&amp;".mp4")</f>
        <v/>
      </c>
      <c r="I18" s="7">
        <f>IF(C18="","",TEXT(32*3+C18,"000")&amp;".mp4")</f>
        <v/>
      </c>
    </row>
    <row r="19">
      <c r="A19" s="11" t="inlineStr">
        <is>
          <t>Profile Realiste</t>
        </is>
      </c>
      <c r="B19" s="11" t="inlineStr">
        <is>
          <t>-</t>
        </is>
      </c>
      <c r="C19" s="9" t="n">
        <v>18</v>
      </c>
      <c r="D19" s="12" t="inlineStr">
        <is>
          <t>Result text - precision</t>
        </is>
      </c>
      <c r="E19" s="7" t="inlineStr">
        <is>
          <t>1080x1920</t>
        </is>
      </c>
      <c r="F19" s="7">
        <f>IF(C19="","",TEXT(32*0+C19,"000")&amp;".mp4")</f>
        <v/>
      </c>
      <c r="G19" s="7">
        <f>IF(C19="","",TEXT(32*1+C19,"000")&amp;".mp4")</f>
        <v/>
      </c>
      <c r="H19" s="7">
        <f>IF(C19="","",TEXT(32*2+C19,"000")&amp;".mp4")</f>
        <v/>
      </c>
      <c r="I19" s="7">
        <f>IF(C19="","",TEXT(32*3+C19,"000")&amp;".mp4")</f>
        <v/>
      </c>
    </row>
    <row r="20">
      <c r="A20" s="11" t="inlineStr">
        <is>
          <t>Profile Matiere</t>
        </is>
      </c>
      <c r="B20" s="11" t="inlineStr">
        <is>
          <t>-</t>
        </is>
      </c>
      <c r="C20" s="9" t="n">
        <v>19</v>
      </c>
      <c r="D20" s="12" t="inlineStr">
        <is>
          <t>Result text - matter</t>
        </is>
      </c>
      <c r="E20" s="7" t="inlineStr">
        <is>
          <t>1080x1920</t>
        </is>
      </c>
      <c r="F20" s="7">
        <f>IF(C20="","",TEXT(32*0+C20,"000")&amp;".mp4")</f>
        <v/>
      </c>
      <c r="G20" s="7">
        <f>IF(C20="","",TEXT(32*1+C20,"000")&amp;".mp4")</f>
        <v/>
      </c>
      <c r="H20" s="7">
        <f>IF(C20="","",TEXT(32*2+C20,"000")&amp;".mp4")</f>
        <v/>
      </c>
      <c r="I20" s="7">
        <f>IF(C20="","",TEXT(32*3+C20,"000")&amp;".mp4")</f>
        <v/>
      </c>
    </row>
    <row r="21">
      <c r="A21" s="11" t="inlineStr">
        <is>
          <t>Profile Conteur</t>
        </is>
      </c>
      <c r="B21" s="11" t="inlineStr">
        <is>
          <t>-</t>
        </is>
      </c>
      <c r="C21" s="9" t="n">
        <v>20</v>
      </c>
      <c r="D21" s="12" t="inlineStr">
        <is>
          <t>Result text - storyteller</t>
        </is>
      </c>
      <c r="E21" s="7" t="inlineStr">
        <is>
          <t>1080x1920</t>
        </is>
      </c>
      <c r="F21" s="7">
        <f>IF(C21="","",TEXT(32*0+C21,"000")&amp;".mp4")</f>
        <v/>
      </c>
      <c r="G21" s="7">
        <f>IF(C21="","",TEXT(32*1+C21,"000")&amp;".mp4")</f>
        <v/>
      </c>
      <c r="H21" s="7">
        <f>IF(C21="","",TEXT(32*2+C21,"000")&amp;".mp4")</f>
        <v/>
      </c>
      <c r="I21" s="7">
        <f>IF(C21="","",TEXT(32*3+C21,"000")&amp;".mp4")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SD card - WIZ2 landscape display</t>
        </is>
      </c>
    </row>
    <row r="2">
      <c r="A2" s="4" t="inlineStr">
        <is>
          <t>Copy each file to this SD card using the exact name shown. Encode each row at the Aspect shown (portrait 1080x1920 or landscape 1920x1080). Text rows list all 4 languages.</t>
        </is>
      </c>
    </row>
    <row r="3">
      <c r="A3" s="5" t="inlineStr">
        <is>
          <t>Role</t>
        </is>
      </c>
      <c r="B3" s="5" t="inlineStr">
        <is>
          <t>Quiz ref</t>
        </is>
      </c>
      <c r="C3" s="6" t="inlineStr">
        <is>
          <t>File index</t>
        </is>
      </c>
      <c r="D3" s="5" t="inlineStr">
        <is>
          <t>Content</t>
        </is>
      </c>
      <c r="E3" s="5" t="inlineStr">
        <is>
          <t>Aspect</t>
        </is>
      </c>
      <c r="F3" s="10" t="inlineStr">
        <is>
          <t>EN file</t>
        </is>
      </c>
      <c r="G3" s="10" t="inlineStr">
        <is>
          <t>FR file</t>
        </is>
      </c>
      <c r="H3" s="10" t="inlineStr">
        <is>
          <t>DE file</t>
        </is>
      </c>
      <c r="I3" s="10" t="inlineStr">
        <is>
          <t>IT file</t>
        </is>
      </c>
    </row>
    <row r="4">
      <c r="A4" s="11" t="inlineStr">
        <is>
          <t>Idle artwork</t>
        </is>
      </c>
      <c r="B4" s="11" t="inlineStr">
        <is>
          <t>-</t>
        </is>
      </c>
      <c r="C4" s="9" t="n">
        <v>0</v>
      </c>
      <c r="D4" s="12" t="inlineStr">
        <is>
          <t>Intro visual landscape (all languages)</t>
        </is>
      </c>
      <c r="E4" s="7" t="inlineStr">
        <is>
          <t>1920x1080</t>
        </is>
      </c>
      <c r="F4" s="7">
        <f>IF(C4="","",TEXT(C4,"000")&amp;".mp4")</f>
        <v/>
      </c>
    </row>
    <row r="5">
      <c r="A5" s="11" t="inlineStr">
        <is>
          <t>Question text Q1</t>
        </is>
      </c>
      <c r="B5" s="11" t="inlineStr">
        <is>
          <t>Q1</t>
        </is>
      </c>
      <c r="C5" s="9" t="n">
        <v>1</v>
      </c>
      <c r="D5" s="12" t="inlineStr">
        <is>
          <t>Caravaggio - Supper at Emmaus (question on landscape screen)</t>
        </is>
      </c>
      <c r="E5" s="7" t="inlineStr">
        <is>
          <t>1920x1080</t>
        </is>
      </c>
      <c r="F5" s="7">
        <f>IF(C5="","",TEXT(32*0+C5,"000")&amp;".mp4")</f>
        <v/>
      </c>
      <c r="G5" s="7">
        <f>IF(C5="","",TEXT(32*1+C5,"000")&amp;".mp4")</f>
        <v/>
      </c>
      <c r="H5" s="7">
        <f>IF(C5="","",TEXT(32*2+C5,"000")&amp;".mp4")</f>
        <v/>
      </c>
      <c r="I5" s="7">
        <f>IF(C5="","",TEXT(32*3+C5,"000")&amp;".mp4")</f>
        <v/>
      </c>
    </row>
    <row r="6">
      <c r="A6" s="11" t="inlineStr">
        <is>
          <t>Artwork Q2</t>
        </is>
      </c>
      <c r="B6" s="11" t="inlineStr">
        <is>
          <t>Q2</t>
        </is>
      </c>
      <c r="C6" s="9" t="n">
        <v>2</v>
      </c>
      <c r="D6" s="12" t="inlineStr">
        <is>
          <t>Monet - Rouen Cathedrals (art on landscape screen)</t>
        </is>
      </c>
      <c r="E6" s="7" t="inlineStr">
        <is>
          <t>1920x1080</t>
        </is>
      </c>
      <c r="F6" s="7">
        <f>IF(C6="","",TEXT(C6,"000")&amp;".mp4")</f>
        <v/>
      </c>
    </row>
    <row r="7">
      <c r="A7" s="11" t="inlineStr">
        <is>
          <t>Artwork Q3</t>
        </is>
      </c>
      <c r="B7" s="11" t="inlineStr">
        <is>
          <t>Q3</t>
        </is>
      </c>
      <c r="C7" s="9" t="n">
        <v>3</v>
      </c>
      <c r="D7" s="12" t="inlineStr">
        <is>
          <t>Magritte - Empire of Light (art on landscape screen)</t>
        </is>
      </c>
      <c r="E7" s="7" t="inlineStr">
        <is>
          <t>1920x1080</t>
        </is>
      </c>
      <c r="F7" s="7">
        <f>IF(C7="","",TEXT(C7,"000")&amp;".mp4")</f>
        <v/>
      </c>
    </row>
    <row r="8">
      <c r="A8" s="11" t="inlineStr">
        <is>
          <t>Question text Q4</t>
        </is>
      </c>
      <c r="B8" s="11" t="inlineStr">
        <is>
          <t>Q4</t>
        </is>
      </c>
      <c r="C8" s="9" t="n">
        <v>4</v>
      </c>
      <c r="D8" s="12" t="inlineStr">
        <is>
          <t>Delaunay / Kirchner - night landscape (question on landscape screen)</t>
        </is>
      </c>
      <c r="E8" s="7" t="inlineStr">
        <is>
          <t>1920x1080</t>
        </is>
      </c>
      <c r="F8" s="7">
        <f>IF(C8="","",TEXT(32*0+C8,"000")&amp;".mp4")</f>
        <v/>
      </c>
      <c r="G8" s="7">
        <f>IF(C8="","",TEXT(32*1+C8,"000")&amp;".mp4")</f>
        <v/>
      </c>
      <c r="H8" s="7">
        <f>IF(C8="","",TEXT(32*2+C8,"000")&amp;".mp4")</f>
        <v/>
      </c>
      <c r="I8" s="7">
        <f>IF(C8="","",TEXT(32*3+C8,"000")&amp;".mp4")</f>
        <v/>
      </c>
    </row>
    <row r="9">
      <c r="A9" s="11" t="inlineStr">
        <is>
          <t>Question text Q5</t>
        </is>
      </c>
      <c r="B9" s="11" t="inlineStr">
        <is>
          <t>Q5</t>
        </is>
      </c>
      <c r="C9" s="9" t="n">
        <v>5</v>
      </c>
      <c r="D9" s="12" t="inlineStr">
        <is>
          <t>Van Gogh - Starry Night (question on landscape screen)</t>
        </is>
      </c>
      <c r="E9" s="7" t="inlineStr">
        <is>
          <t>1920x1080</t>
        </is>
      </c>
      <c r="F9" s="7">
        <f>IF(C9="","",TEXT(32*0+C9,"000")&amp;".mp4")</f>
        <v/>
      </c>
      <c r="G9" s="7">
        <f>IF(C9="","",TEXT(32*1+C9,"000")&amp;".mp4")</f>
        <v/>
      </c>
      <c r="H9" s="7">
        <f>IF(C9="","",TEXT(32*2+C9,"000")&amp;".mp4")</f>
        <v/>
      </c>
      <c r="I9" s="7">
        <f>IF(C9="","",TEXT(32*3+C9,"000")&amp;".mp4")</f>
        <v/>
      </c>
    </row>
    <row r="10">
      <c r="A10" s="11" t="inlineStr">
        <is>
          <t>Question text Q6</t>
        </is>
      </c>
      <c r="B10" s="11" t="inlineStr">
        <is>
          <t>Q6</t>
        </is>
      </c>
      <c r="C10" s="9" t="n">
        <v>6</v>
      </c>
      <c r="D10" s="12" t="inlineStr">
        <is>
          <t>Hopper - Nighthawks (Q6A) (question on landscape screen)</t>
        </is>
      </c>
      <c r="E10" s="7" t="inlineStr">
        <is>
          <t>1920x1080</t>
        </is>
      </c>
      <c r="F10" s="7">
        <f>IF(C10="","",TEXT(32*0+C10,"000")&amp;".mp4")</f>
        <v/>
      </c>
      <c r="G10" s="7">
        <f>IF(C10="","",TEXT(32*1+C10,"000")&amp;".mp4")</f>
        <v/>
      </c>
      <c r="H10" s="7">
        <f>IF(C10="","",TEXT(32*2+C10,"000")&amp;".mp4")</f>
        <v/>
      </c>
      <c r="I10" s="7">
        <f>IF(C10="","",TEXT(32*3+C10,"000")&amp;".mp4")</f>
        <v/>
      </c>
    </row>
    <row r="11">
      <c r="A11" s="11" t="inlineStr">
        <is>
          <t>Question text Q7</t>
        </is>
      </c>
      <c r="B11" s="11" t="inlineStr">
        <is>
          <t>Q7</t>
        </is>
      </c>
      <c r="C11" s="9" t="n">
        <v>7</v>
      </c>
      <c r="D11" s="12" t="inlineStr">
        <is>
          <t>Hopper - Night Windows (Q6B) (question on landscape screen)</t>
        </is>
      </c>
      <c r="E11" s="7" t="inlineStr">
        <is>
          <t>1920x1080</t>
        </is>
      </c>
      <c r="F11" s="7">
        <f>IF(C11="","",TEXT(32*0+C11,"000")&amp;".mp4")</f>
        <v/>
      </c>
      <c r="G11" s="7">
        <f>IF(C11="","",TEXT(32*1+C11,"000")&amp;".mp4")</f>
        <v/>
      </c>
      <c r="H11" s="7">
        <f>IF(C11="","",TEXT(32*2+C11,"000")&amp;".mp4")</f>
        <v/>
      </c>
      <c r="I11" s="7">
        <f>IF(C11="","",TEXT(32*3+C11,"000")&amp;".mp4")</f>
        <v/>
      </c>
    </row>
    <row r="12">
      <c r="A12" s="11" t="inlineStr">
        <is>
          <t>Artwork Q8</t>
        </is>
      </c>
      <c r="B12" s="11" t="inlineStr">
        <is>
          <t>Q8</t>
        </is>
      </c>
      <c r="C12" s="9" t="n">
        <v>8</v>
      </c>
      <c r="D12" s="12" t="inlineStr">
        <is>
          <t>Photo - Sudek / Brassai (Q7) (art on landscape screen)</t>
        </is>
      </c>
      <c r="E12" s="7" t="inlineStr">
        <is>
          <t>1920x1080</t>
        </is>
      </c>
      <c r="F12" s="7">
        <f>IF(C12="","",TEXT(C12,"000")&amp;".mp4")</f>
        <v/>
      </c>
    </row>
    <row r="13">
      <c r="A13" s="11" t="inlineStr">
        <is>
          <t>Question text Q9</t>
        </is>
      </c>
      <c r="B13" s="11" t="inlineStr">
        <is>
          <t>Q9</t>
        </is>
      </c>
      <c r="C13" s="9" t="n">
        <v>9</v>
      </c>
      <c r="D13" s="12" t="inlineStr">
        <is>
          <t>Fuseli - The Nightmare (question on landscape screen)</t>
        </is>
      </c>
      <c r="E13" s="7" t="inlineStr">
        <is>
          <t>1920x1080</t>
        </is>
      </c>
      <c r="F13" s="7">
        <f>IF(C13="","",TEXT(32*0+C13,"000")&amp;".mp4")</f>
        <v/>
      </c>
      <c r="G13" s="7">
        <f>IF(C13="","",TEXT(32*1+C13,"000")&amp;".mp4")</f>
        <v/>
      </c>
      <c r="H13" s="7">
        <f>IF(C13="","",TEXT(32*2+C13,"000")&amp;".mp4")</f>
        <v/>
      </c>
      <c r="I13" s="7">
        <f>IF(C13="","",TEXT(32*3+C13,"000")&amp;".mp4")</f>
        <v/>
      </c>
    </row>
    <row r="14">
      <c r="A14" s="11" t="inlineStr">
        <is>
          <t>Question text Q10</t>
        </is>
      </c>
      <c r="B14" s="11" t="inlineStr">
        <is>
          <t>Q10</t>
        </is>
      </c>
      <c r="C14" s="9" t="n">
        <v>10</v>
      </c>
      <c r="D14" s="12" t="inlineStr">
        <is>
          <t>Soulages - Outrenoir (question on landscape screen)</t>
        </is>
      </c>
      <c r="E14" s="7" t="inlineStr">
        <is>
          <t>1920x1080</t>
        </is>
      </c>
      <c r="F14" s="7">
        <f>IF(C14="","",TEXT(32*0+C14,"000")&amp;".mp4")</f>
        <v/>
      </c>
      <c r="G14" s="7">
        <f>IF(C14="","",TEXT(32*1+C14,"000")&amp;".mp4")</f>
        <v/>
      </c>
      <c r="H14" s="7">
        <f>IF(C14="","",TEXT(32*2+C14,"000")&amp;".mp4")</f>
        <v/>
      </c>
      <c r="I14" s="7">
        <f>IF(C14="","",TEXT(32*3+C14,"000")&amp;".mp4")</f>
        <v/>
      </c>
    </row>
    <row r="15">
      <c r="A15" s="11" t="inlineStr">
        <is>
          <t>Artwork Q11</t>
        </is>
      </c>
      <c r="B15" s="11" t="inlineStr">
        <is>
          <t>Q11</t>
        </is>
      </c>
      <c r="C15" s="9" t="n">
        <v>11</v>
      </c>
      <c r="D15" s="12" t="inlineStr">
        <is>
          <t>Vallotton - The Bibliophile (art on landscape screen)</t>
        </is>
      </c>
      <c r="E15" s="7" t="inlineStr">
        <is>
          <t>1920x1080</t>
        </is>
      </c>
      <c r="F15" s="7">
        <f>IF(C15="","",TEXT(C15,"000")&amp;".mp4")</f>
        <v/>
      </c>
    </row>
    <row r="16">
      <c r="A16" s="11" t="inlineStr">
        <is>
          <t>Question text Q12</t>
        </is>
      </c>
      <c r="B16" s="11" t="inlineStr">
        <is>
          <t>Q12</t>
        </is>
      </c>
      <c r="C16" s="9" t="n">
        <v>12</v>
      </c>
      <c r="D16" s="12" t="inlineStr">
        <is>
          <t>Grandville - Cast Shadows (question on landscape screen)</t>
        </is>
      </c>
      <c r="E16" s="7" t="inlineStr">
        <is>
          <t>1920x1080</t>
        </is>
      </c>
      <c r="F16" s="7">
        <f>IF(C16="","",TEXT(32*0+C16,"000")&amp;".mp4")</f>
        <v/>
      </c>
      <c r="G16" s="7">
        <f>IF(C16="","",TEXT(32*1+C16,"000")&amp;".mp4")</f>
        <v/>
      </c>
      <c r="H16" s="7">
        <f>IF(C16="","",TEXT(32*2+C16,"000")&amp;".mp4")</f>
        <v/>
      </c>
      <c r="I16" s="7">
        <f>IF(C16="","",TEXT(32*3+C16,"000")&amp;".mp4")</f>
        <v/>
      </c>
    </row>
    <row r="17">
      <c r="A17" s="11" t="inlineStr">
        <is>
          <t>Artwork Q13</t>
        </is>
      </c>
      <c r="B17" s="11" t="inlineStr">
        <is>
          <t>Q13</t>
        </is>
      </c>
      <c r="C17" s="9" t="n">
        <v>13</v>
      </c>
      <c r="D17" s="12" t="inlineStr">
        <is>
          <t>Your work - final 4 motifs Q12 (art on landscape screen)</t>
        </is>
      </c>
      <c r="E17" s="7" t="inlineStr">
        <is>
          <t>1920x1080</t>
        </is>
      </c>
      <c r="F17" s="7">
        <f>IF(C17="","",TEXT(C17,"000")&amp;".mp4")</f>
        <v/>
      </c>
    </row>
    <row r="18">
      <c r="A18" s="11" t="inlineStr">
        <is>
          <t>Profile art Emotions</t>
        </is>
      </c>
      <c r="B18" s="11" t="inlineStr">
        <is>
          <t>-</t>
        </is>
      </c>
      <c r="C18" s="9" t="n">
        <v>17</v>
      </c>
      <c r="D18" s="12" t="inlineStr">
        <is>
          <t>Result visual - emotions</t>
        </is>
      </c>
      <c r="E18" s="7" t="inlineStr">
        <is>
          <t>1920x1080</t>
        </is>
      </c>
      <c r="F18" s="7">
        <f>IF(C18="","",TEXT(C18,"000")&amp;".mp4")</f>
        <v/>
      </c>
    </row>
    <row r="19">
      <c r="A19" s="11" t="inlineStr">
        <is>
          <t>Profile art Realiste</t>
        </is>
      </c>
      <c r="B19" s="11" t="inlineStr">
        <is>
          <t>-</t>
        </is>
      </c>
      <c r="C19" s="9" t="n">
        <v>18</v>
      </c>
      <c r="D19" s="12" t="inlineStr">
        <is>
          <t>Result visual - precision</t>
        </is>
      </c>
      <c r="E19" s="7" t="inlineStr">
        <is>
          <t>1920x1080</t>
        </is>
      </c>
      <c r="F19" s="7">
        <f>IF(C19="","",TEXT(C19,"000")&amp;".mp4")</f>
        <v/>
      </c>
    </row>
    <row r="20">
      <c r="A20" s="11" t="inlineStr">
        <is>
          <t>Profile art Matiere</t>
        </is>
      </c>
      <c r="B20" s="11" t="inlineStr">
        <is>
          <t>-</t>
        </is>
      </c>
      <c r="C20" s="9" t="n">
        <v>19</v>
      </c>
      <c r="D20" s="12" t="inlineStr">
        <is>
          <t>Result visual - matter</t>
        </is>
      </c>
      <c r="E20" s="7" t="inlineStr">
        <is>
          <t>1920x1080</t>
        </is>
      </c>
      <c r="F20" s="7">
        <f>IF(C20="","",TEXT(C20,"000")&amp;".mp4")</f>
        <v/>
      </c>
    </row>
    <row r="21">
      <c r="A21" s="11" t="inlineStr">
        <is>
          <t>Profile art Conteur</t>
        </is>
      </c>
      <c r="B21" s="11" t="inlineStr">
        <is>
          <t>-</t>
        </is>
      </c>
      <c r="C21" s="9" t="n">
        <v>20</v>
      </c>
      <c r="D21" s="12" t="inlineStr">
        <is>
          <t>Result visual - storyteller</t>
        </is>
      </c>
      <c r="E21" s="7" t="inlineStr">
        <is>
          <t>1920x1080</t>
        </is>
      </c>
      <c r="F21" s="7">
        <f>IF(C21="","",TEXT(C21,"000")&amp;".mp4")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QuestionnaireConfig.h generator</t>
        </is>
      </c>
    </row>
    <row r="2">
      <c r="A2" s="4" t="inlineStr">
        <is>
          <t>Copy column A (values shown) from BEGIN through END into QuestionnaireConfig.h. Includes NUM_QUESTIONS and QUESTIONS[]. Skip empty lines in the array. Row count = filled Artwork cells on Questions sheet.</t>
        </is>
      </c>
    </row>
    <row r="4">
      <c r="A4" s="13" t="inlineStr">
        <is>
          <t>// --- BEGIN_QUESTIONNAIRE_CONFIG ---</t>
        </is>
      </c>
    </row>
    <row r="5">
      <c r="A5" s="13">
        <f>"static const uint8_t NUM_QUESTIONS = "&amp;COUNTA(Questions!$B$4:$B$27)&amp;";"</f>
        <v/>
      </c>
    </row>
    <row r="6">
      <c r="A6" s="13">
        <f>"static const QuestionEntry QUESTIONS[NUM_QUESTIONS] = {"</f>
        <v/>
      </c>
    </row>
    <row r="7">
      <c r="A7" s="13">
        <f>'Questions'!$V4</f>
        <v/>
      </c>
    </row>
    <row r="8">
      <c r="A8" s="13">
        <f>'Questions'!$V5</f>
        <v/>
      </c>
    </row>
    <row r="9">
      <c r="A9" s="13">
        <f>'Questions'!$V6</f>
        <v/>
      </c>
    </row>
    <row r="10">
      <c r="A10" s="13">
        <f>'Questions'!$V7</f>
        <v/>
      </c>
    </row>
    <row r="11">
      <c r="A11" s="13">
        <f>'Questions'!$V8</f>
        <v/>
      </c>
    </row>
    <row r="12">
      <c r="A12" s="13">
        <f>'Questions'!$V9</f>
        <v/>
      </c>
    </row>
    <row r="13">
      <c r="A13" s="13">
        <f>'Questions'!$V10</f>
        <v/>
      </c>
    </row>
    <row r="14">
      <c r="A14" s="13">
        <f>'Questions'!$V11</f>
        <v/>
      </c>
    </row>
    <row r="15">
      <c r="A15" s="13">
        <f>'Questions'!$V12</f>
        <v/>
      </c>
    </row>
    <row r="16">
      <c r="A16" s="13">
        <f>'Questions'!$V13</f>
        <v/>
      </c>
    </row>
    <row r="17">
      <c r="A17" s="13">
        <f>'Questions'!$V14</f>
        <v/>
      </c>
    </row>
    <row r="18">
      <c r="A18" s="13">
        <f>'Questions'!$V15</f>
        <v/>
      </c>
    </row>
    <row r="19">
      <c r="A19" s="13">
        <f>'Questions'!$V16</f>
        <v/>
      </c>
    </row>
    <row r="20">
      <c r="A20" s="13">
        <f>'Questions'!$V17</f>
        <v/>
      </c>
    </row>
    <row r="21">
      <c r="A21" s="13">
        <f>'Questions'!$V18</f>
        <v/>
      </c>
    </row>
    <row r="22">
      <c r="A22" s="13">
        <f>'Questions'!$V19</f>
        <v/>
      </c>
    </row>
    <row r="23">
      <c r="A23" s="13">
        <f>'Questions'!$V20</f>
        <v/>
      </c>
    </row>
    <row r="24">
      <c r="A24" s="13">
        <f>'Questions'!$V21</f>
        <v/>
      </c>
    </row>
    <row r="25">
      <c r="A25" s="13">
        <f>'Questions'!$V22</f>
        <v/>
      </c>
    </row>
    <row r="26">
      <c r="A26" s="13">
        <f>'Questions'!$V23</f>
        <v/>
      </c>
    </row>
    <row r="27">
      <c r="A27" s="13">
        <f>'Questions'!$V24</f>
        <v/>
      </c>
    </row>
    <row r="28">
      <c r="A28" s="13">
        <f>'Questions'!$V25</f>
        <v/>
      </c>
    </row>
    <row r="29">
      <c r="A29" s="13">
        <f>'Questions'!$V26</f>
        <v/>
      </c>
    </row>
    <row r="30">
      <c r="A30" s="13">
        <f>'Questions'!$V27</f>
        <v/>
      </c>
    </row>
    <row r="31">
      <c r="A31" s="13">
        <f>"};"</f>
        <v/>
      </c>
    </row>
    <row r="32">
      <c r="A32" s="13" t="inlineStr">
        <is>
          <t>// --- END_QUESTIONNAIRE_CONFIG ---</t>
        </is>
      </c>
    </row>
    <row r="33">
      <c r="A33" s="13" t="inlineStr">
        <is>
          <t>NUM_QUESTIONS = count of rows with Artwork on Questions sheet. SD indices: text and artwork share the same step number on each card (0 = idle). Text filenames use language blocks on the text player only.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2026-06-04T13:35:10Z</dcterms:created>
  <dcterms:modified xmlns:dcterms="http://purl.org/dc/terms/" xmlns:xsi="http://www.w3.org/2001/XMLSchema-instance" xsi:type="dcterms:W3CDTF">2026-06-04T13:35:10Z</dcterms:modified>
</cp:coreProperties>
</file>