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Questions" sheetId="2" state="visible" r:id="rId2"/>
    <sheet xmlns:r="http://schemas.openxmlformats.org/officeDocument/2006/relationships" name="SD WIZ1" sheetId="3" state="visible" r:id="rId3"/>
    <sheet xmlns:r="http://schemas.openxmlformats.org/officeDocument/2006/relationships" name="SD WIZ2" sheetId="4" state="visible" r:id="rId4"/>
    <sheet xmlns:r="http://schemas.openxmlformats.org/officeDocument/2006/relationships" name="CodeGen" sheetId="5" state="visible" r:id="rId5"/>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sz val="14"/>
    </font>
    <font>
      <b val="1"/>
      <color rgb="002F5496"/>
      <sz val="11"/>
    </font>
    <font>
      <color rgb="00404040"/>
      <sz val="10"/>
    </font>
    <font>
      <b val="1"/>
      <color rgb="001F3864"/>
    </font>
    <font>
      <sz val="11"/>
    </font>
    <font>
      <name val="Consolas"/>
      <sz val="10"/>
    </font>
  </fonts>
  <fills count="17">
    <fill>
      <patternFill/>
    </fill>
    <fill>
      <patternFill patternType="gray125"/>
    </fill>
    <fill>
      <patternFill patternType="solid">
        <fgColor rgb="002F5496"/>
      </patternFill>
    </fill>
    <fill>
      <patternFill patternType="solid">
        <fgColor rgb="00F8F9FA"/>
      </patternFill>
    </fill>
    <fill>
      <patternFill patternType="solid">
        <fgColor rgb="00F2F2F2"/>
      </patternFill>
    </fill>
    <fill>
      <patternFill patternType="solid">
        <fgColor rgb="00E2EFDA"/>
      </patternFill>
    </fill>
    <fill>
      <patternFill patternType="solid">
        <fgColor rgb="009BC2E6"/>
      </patternFill>
    </fill>
    <fill>
      <patternFill patternType="solid">
        <fgColor rgb="009DC3E6"/>
      </patternFill>
    </fill>
    <fill>
      <patternFill patternType="solid">
        <fgColor rgb="00A9D08E"/>
      </patternFill>
    </fill>
    <fill>
      <patternFill patternType="solid">
        <fgColor rgb="00F4B084"/>
      </patternFill>
    </fill>
    <fill>
      <patternFill patternType="solid">
        <fgColor rgb="00C9B8D8"/>
      </patternFill>
    </fill>
    <fill>
      <patternFill patternType="solid">
        <fgColor rgb="00DDEBF7"/>
      </patternFill>
    </fill>
    <fill>
      <patternFill patternType="solid">
        <fgColor rgb="00FCE4D6"/>
      </patternFill>
    </fill>
    <fill>
      <patternFill patternType="solid">
        <fgColor rgb="00E4DFEC"/>
      </patternFill>
    </fill>
    <fill>
      <patternFill patternType="solid">
        <fgColor rgb="00D9D9D9"/>
      </patternFill>
    </fill>
    <fill>
      <patternFill patternType="solid">
        <fgColor rgb="00C6E0B4"/>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2" fillId="0" borderId="0" pivotButton="0" quotePrefix="0" xfId="0"/>
    <xf numFmtId="0" fontId="3" fillId="3" borderId="0" applyAlignment="1" pivotButton="0" quotePrefix="0" xfId="0">
      <alignment vertical="top" wrapText="1"/>
    </xf>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4" fillId="9" borderId="0" pivotButton="0" quotePrefix="0" xfId="0"/>
    <xf numFmtId="0" fontId="4" fillId="10" borderId="0" pivotButton="0" quotePrefix="0" xfId="0"/>
    <xf numFmtId="0" fontId="5" fillId="11" borderId="1" applyAlignment="1" pivotButton="0" quotePrefix="0" xfId="0">
      <alignment horizontal="center" vertical="center"/>
    </xf>
    <xf numFmtId="0" fontId="5" fillId="5" borderId="1" applyAlignment="1" applyProtection="1" pivotButton="0" quotePrefix="0" xfId="0">
      <alignment horizontal="left"/>
      <protection locked="0" hidden="0"/>
    </xf>
    <xf numFmtId="0" fontId="5" fillId="5" borderId="1" applyAlignment="1" applyProtection="1" pivotButton="0" quotePrefix="0" xfId="0">
      <alignment horizontal="center" vertical="center"/>
      <protection locked="0" hidden="0"/>
    </xf>
    <xf numFmtId="0" fontId="5" fillId="11" borderId="1" applyAlignment="1" applyProtection="1" pivotButton="0" quotePrefix="0" xfId="0">
      <alignment horizontal="center" vertical="center"/>
      <protection locked="0" hidden="0"/>
    </xf>
    <xf numFmtId="0" fontId="5" fillId="12" borderId="1" applyAlignment="1" applyProtection="1" pivotButton="0" quotePrefix="0" xfId="0">
      <alignment horizontal="center" vertical="center"/>
      <protection locked="0" hidden="0"/>
    </xf>
    <xf numFmtId="0" fontId="5" fillId="13" borderId="1" applyAlignment="1" applyProtection="1" pivotButton="0" quotePrefix="0" xfId="0">
      <alignment horizontal="center" vertical="center"/>
      <protection locked="0" hidden="0"/>
    </xf>
    <xf numFmtId="0" fontId="4" fillId="14" borderId="0" pivotButton="0" quotePrefix="0" xfId="0"/>
    <xf numFmtId="0" fontId="4" fillId="15" borderId="0" pivotButton="0" quotePrefix="0" xfId="0"/>
    <xf numFmtId="0" fontId="5" fillId="11" borderId="1" applyAlignment="1" pivotButton="0" quotePrefix="0" xfId="0">
      <alignment vertical="top" wrapText="1"/>
    </xf>
    <xf numFmtId="0" fontId="6" fillId="1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496"/>
    <outlinePr summaryBelow="1" summaryRight="1"/>
    <pageSetUpPr/>
  </sheetPr>
  <dimension ref="A1:D34"/>
  <sheetViews>
    <sheetView workbookViewId="0">
      <selection activeCell="A1" sqref="A1"/>
    </sheetView>
  </sheetViews>
  <sheetFormatPr baseColWidth="8" defaultRowHeight="15"/>
  <cols>
    <col width="58" customWidth="1" min="1" max="1"/>
    <col width="18" customWidth="1" min="2" max="2"/>
    <col width="12" customWidth="1" min="3" max="3"/>
    <col width="12" customWidth="1" min="4" max="4"/>
  </cols>
  <sheetData>
    <row r="1">
      <c r="A1" s="1" t="inlineStr">
        <is>
          <t>Vision Artiste - MedeaWiz media map</t>
        </is>
      </c>
    </row>
    <row r="3">
      <c r="A3" s="2" t="inlineStr">
        <is>
          <t>Two MedeaWiz Sprite players:</t>
        </is>
      </c>
    </row>
    <row r="4">
      <c r="A4" s="2" t="inlineStr">
        <is>
          <t xml:space="preserve">  WIZ1 - portrait display (1080 x 1920)</t>
        </is>
      </c>
    </row>
    <row r="5">
      <c r="A5" s="2" t="inlineStr">
        <is>
          <t xml:space="preserve">  WIZ2 - landscape display (1920 x 1080)</t>
        </is>
      </c>
    </row>
    <row r="6">
      <c r="A6" s="2" t="inlineStr"/>
    </row>
    <row r="7">
      <c r="A7" s="2" t="inlineStr">
        <is>
          <t>For each quiz step (Questions sheet):</t>
        </is>
      </c>
    </row>
    <row r="8">
      <c r="A8" s="2" t="inlineStr">
        <is>
          <t xml:space="preserve">  - Pick where the QUESTION TEXT plays: Portrait or Landscape (dropdown).</t>
        </is>
      </c>
    </row>
    <row r="9">
      <c r="A9" s="2" t="inlineStr">
        <is>
          <t xml:space="preserve">  - The ARTWORK always plays on the other screen (complementary).</t>
        </is>
      </c>
    </row>
    <row r="10">
      <c r="A10" s="2" t="inlineStr">
        <is>
          <t xml:space="preserve">  - Export video with the matching aspect ratio on each SD card.</t>
        </is>
      </c>
    </row>
    <row r="11">
      <c r="A11" s="2" t="inlineStr"/>
    </row>
    <row r="12">
      <c r="A12" s="2" t="inlineStr">
        <is>
          <t>SD file names: 000.mp4, 001.mp4, ... (3 digits + .mp4).</t>
        </is>
      </c>
    </row>
    <row r="13">
      <c r="A13" s="2" t="inlineStr">
        <is>
          <t>Index = file number sent to the Sprite.</t>
        </is>
      </c>
    </row>
    <row r="14">
      <c r="A14" s="2" t="inlineStr"/>
    </row>
    <row r="15">
      <c r="A15" s="2" t="inlineStr">
        <is>
          <t>Flow: intro (text + art) -&gt; quiz steps -&gt; profile on WIZ1.</t>
        </is>
      </c>
    </row>
    <row r="16">
      <c r="A16" s="2" t="inlineStr">
        <is>
          <t>Scoring: score grid (columns M–AB) — 0–10 points per profile per button (B1–B4).</t>
        </is>
      </c>
    </row>
    <row r="17">
      <c r="A17" s="2" t="inlineStr">
        <is>
          <t xml:space="preserve">  Sum across steps; highest wins. Tie-break: Emotions, Conteur, Matiere, Realiste.</t>
        </is>
      </c>
    </row>
    <row r="18">
      <c r="A18" s="2" t="inlineStr"/>
    </row>
    <row r="19">
      <c r="A19" s="2" t="inlineStr">
        <is>
          <t>Add a question: on Questions sheet, fill the next empty row (Artwork column).</t>
        </is>
      </c>
    </row>
    <row r="20">
      <c r="A20" s="2" t="inlineStr">
        <is>
          <t xml:space="preserve">  Clear Artwork to remove a step (do not delete rows — CodeGen uses fixed row refs).</t>
        </is>
      </c>
    </row>
    <row r="21">
      <c r="A21" s="2" t="inlineStr">
        <is>
          <t xml:space="preserve">  CodeGen column A updates when you edit scores, screen, or Artwork (recalc in Excel).</t>
        </is>
      </c>
    </row>
    <row r="22">
      <c r="A22" s="2" t="inlineStr">
        <is>
          <t xml:space="preserve">  Or run: python scripts/generate_media_workbook.py --emit-cpp</t>
        </is>
      </c>
    </row>
    <row r="23">
      <c r="A23" s="2" t="inlineStr">
        <is>
          <t xml:space="preserve">  SD WIZ1 / SD WIZ2 update automatically from Questions (clear Artwork to remove a step).</t>
        </is>
      </c>
    </row>
    <row r="24">
      <c r="A24" s="2" t="inlineStr"/>
    </row>
    <row r="25">
      <c r="A25" s="2" t="inlineStr">
        <is>
          <t>Sheets: Questions | SD WIZ1 | SD WIZ2 | CodeGen</t>
        </is>
      </c>
    </row>
    <row r="26">
      <c r="A26" s="2" t="inlineStr"/>
    </row>
    <row r="27">
      <c r="A27" s="2" t="inlineStr">
        <is>
          <t>If CodeGen shows Err:508 in LibreOffice, run: python scripts/generate_media_workbook.py --emit-cpp</t>
        </is>
      </c>
    </row>
    <row r="28">
      <c r="A28" s="2" t="n"/>
    </row>
    <row r="29">
      <c r="A29" s="3" t="inlineStr">
        <is>
          <t>Firmware limits</t>
        </is>
      </c>
    </row>
    <row r="30">
      <c r="A30" t="inlineStr">
        <is>
          <t>Files per language (question text)</t>
        </is>
      </c>
      <c r="B30" t="inlineStr">
        <is>
          <t>32</t>
        </is>
      </c>
    </row>
    <row r="31">
      <c r="A31" t="inlineStr">
        <is>
          <t>Languages</t>
        </is>
      </c>
      <c r="B31" t="inlineStr">
        <is>
          <t>4</t>
        </is>
      </c>
    </row>
    <row r="32">
      <c r="A32" t="inlineStr">
        <is>
          <t>Max files per SD card</t>
        </is>
      </c>
      <c r="B32" t="inlineStr">
        <is>
          <t>200</t>
        </is>
      </c>
    </row>
    <row r="33">
      <c r="A33" t="inlineStr">
        <is>
          <t>Question rows in workbook</t>
        </is>
      </c>
      <c r="B33" t="inlineStr">
        <is>
          <t>24</t>
        </is>
      </c>
    </row>
    <row r="34">
      <c r="A34" t="inlineStr">
        <is>
          <t>Quiz steps (initial)</t>
        </is>
      </c>
      <c r="B34" t="inlineStr">
        <is>
          <t>13</t>
        </is>
      </c>
    </row>
  </sheetData>
  <sheetProtection selectLockedCells="0" selectUnlockedCells="0" sheet="1" objects="0" insertRows="1" insertHyperlinks="1" autoFilter="1" scenarios="0" formatColumns="1" deleteColumns="1" insertColumns="1" pivotTables="1" deleteRows="1" formatCells="1" formatRows="1" sort="1"/>
  <mergeCells count="26">
    <mergeCell ref="A5:D5"/>
    <mergeCell ref="A17:D17"/>
    <mergeCell ref="A23:D23"/>
    <mergeCell ref="A8:D8"/>
    <mergeCell ref="A22:D22"/>
    <mergeCell ref="A4:D4"/>
    <mergeCell ref="A20:D20"/>
    <mergeCell ref="A19:D19"/>
    <mergeCell ref="A10:D10"/>
    <mergeCell ref="A13:D13"/>
    <mergeCell ref="A9:D9"/>
    <mergeCell ref="A15:D15"/>
    <mergeCell ref="A24:D24"/>
    <mergeCell ref="A11:D11"/>
    <mergeCell ref="A1:D1"/>
    <mergeCell ref="A6:D6"/>
    <mergeCell ref="A7:D7"/>
    <mergeCell ref="A25:D25"/>
    <mergeCell ref="A16:D16"/>
    <mergeCell ref="A18:D18"/>
    <mergeCell ref="A27:D27"/>
    <mergeCell ref="A12:D12"/>
    <mergeCell ref="A3:D3"/>
    <mergeCell ref="A21:D21"/>
    <mergeCell ref="A26:D26"/>
    <mergeCell ref="A14:D14"/>
  </mergeCells>
  <pageMargins left="0.75" right="0.75" top="1" bottom="1" header="0.5" footer="0.5"/>
</worksheet>
</file>

<file path=xl/worksheets/sheet2.xml><?xml version="1.0" encoding="utf-8"?>
<worksheet xmlns="http://schemas.openxmlformats.org/spreadsheetml/2006/main">
  <sheetPr>
    <tabColor rgb="00C55A11"/>
    <outlinePr summaryBelow="1" summaryRight="1"/>
    <pageSetUpPr/>
  </sheetPr>
  <dimension ref="A1:AC27"/>
  <sheetViews>
    <sheetView workbookViewId="0">
      <pane ySplit="3" topLeftCell="A4" activePane="bottomLeft" state="frozen"/>
      <selection pane="bottomLeft" activeCell="A1" sqref="A1"/>
    </sheetView>
  </sheetViews>
  <sheetFormatPr baseColWidth="8" defaultRowHeight="15"/>
  <cols>
    <col width="6" customWidth="1" min="1" max="1"/>
    <col width="34" customWidth="1" min="2" max="2"/>
    <col width="18" customWidth="1" min="3" max="3"/>
    <col width="18" customWidth="1" min="4" max="4"/>
    <col hidden="1" width="8" customWidth="1" min="5" max="5"/>
    <col hidden="1" width="8" customWidth="1" min="6" max="6"/>
    <col width="12" customWidth="1" min="7" max="7"/>
    <col width="12" customWidth="1" min="8" max="8"/>
    <col width="14" customWidth="1" min="9" max="9"/>
    <col width="14"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hidden="1" width="13" customWidth="1" min="29" max="29"/>
  </cols>
  <sheetData>
    <row r="1">
      <c r="A1" s="1" t="inlineStr">
        <is>
          <t>Quiz steps - screens and scoring</t>
        </is>
      </c>
    </row>
    <row r="2">
      <c r="A2" s="4" t="inlineStr">
        <is>
          <t>Add a step: fill the next empty row (column Artwork). Rows 4-27 are ready (max 24 steps). Question plays on = dropdown. Score grid: 0–10 per profile per button (B1–B4).</t>
        </is>
      </c>
    </row>
    <row r="3">
      <c r="A3" s="5" t="inlineStr">
        <is>
          <t>Step</t>
        </is>
      </c>
      <c r="B3" s="6" t="inlineStr">
        <is>
          <t>Artwork</t>
        </is>
      </c>
      <c r="C3" s="6" t="inlineStr">
        <is>
          <t>Question plays on</t>
        </is>
      </c>
      <c r="D3" s="5" t="inlineStr">
        <is>
          <t>Artwork plays on</t>
        </is>
      </c>
      <c r="G3" s="5" t="inlineStr">
        <is>
          <t>Text player</t>
        </is>
      </c>
      <c r="H3" s="5" t="inlineStr">
        <is>
          <t>Art player</t>
        </is>
      </c>
      <c r="I3" s="5" t="inlineStr">
        <is>
          <t>Text aspect</t>
        </is>
      </c>
      <c r="J3" s="5" t="inlineStr">
        <is>
          <t>Art aspect</t>
        </is>
      </c>
      <c r="K3" s="7" t="inlineStr">
        <is>
          <t>Text file (FR)</t>
        </is>
      </c>
      <c r="L3" s="7" t="inlineStr">
        <is>
          <t>Art file</t>
        </is>
      </c>
      <c r="M3" s="8" t="inlineStr">
        <is>
          <t>B1 Emotions</t>
        </is>
      </c>
      <c r="N3" s="8" t="inlineStr">
        <is>
          <t>B1 Realiste</t>
        </is>
      </c>
      <c r="O3" s="8" t="inlineStr">
        <is>
          <t>B1 Matiere</t>
        </is>
      </c>
      <c r="P3" s="8" t="inlineStr">
        <is>
          <t>B1 Conteur</t>
        </is>
      </c>
      <c r="Q3" s="9" t="inlineStr">
        <is>
          <t>B2 Emotions</t>
        </is>
      </c>
      <c r="R3" s="9" t="inlineStr">
        <is>
          <t>B2 Realiste</t>
        </is>
      </c>
      <c r="S3" s="9" t="inlineStr">
        <is>
          <t>B2 Matiere</t>
        </is>
      </c>
      <c r="T3" s="9" t="inlineStr">
        <is>
          <t>B2 Conteur</t>
        </is>
      </c>
      <c r="U3" s="10" t="inlineStr">
        <is>
          <t>B3 Emotions</t>
        </is>
      </c>
      <c r="V3" s="10" t="inlineStr">
        <is>
          <t>B3 Realiste</t>
        </is>
      </c>
      <c r="W3" s="10" t="inlineStr">
        <is>
          <t>B3 Matiere</t>
        </is>
      </c>
      <c r="X3" s="10" t="inlineStr">
        <is>
          <t>B3 Conteur</t>
        </is>
      </c>
      <c r="Y3" s="11" t="inlineStr">
        <is>
          <t>B4 Emotions</t>
        </is>
      </c>
      <c r="Z3" s="11" t="inlineStr">
        <is>
          <t>B4 Realiste</t>
        </is>
      </c>
      <c r="AA3" s="11" t="inlineStr">
        <is>
          <t>B4 Matiere</t>
        </is>
      </c>
      <c r="AB3" s="11" t="inlineStr">
        <is>
          <t>B4 Conteur</t>
        </is>
      </c>
    </row>
    <row r="4">
      <c r="A4" s="12">
        <f>IF(B4="","",ROW()-3)</f>
        <v/>
      </c>
      <c r="B4" s="13" t="inlineStr">
        <is>
          <t>Caravaggio - Supper at Emmaus</t>
        </is>
      </c>
      <c r="C4" s="14" t="inlineStr">
        <is>
          <t>Landscape</t>
        </is>
      </c>
      <c r="D4" s="12">
        <f>IF(C4="Portrait","Landscape","Portrait")</f>
        <v/>
      </c>
      <c r="E4" s="12">
        <f>IF(B4="","",A4)</f>
        <v/>
      </c>
      <c r="F4" s="12">
        <f>E4+0</f>
        <v/>
      </c>
      <c r="G4" s="12">
        <f>IF(C4="Portrait","WIZ1","WIZ2")</f>
        <v/>
      </c>
      <c r="H4" s="12">
        <f>IF(C4="Portrait","WIZ2","WIZ1")</f>
        <v/>
      </c>
      <c r="I4" s="12">
        <f>IF(C4="Portrait","1080x1920","1920x1080")</f>
        <v/>
      </c>
      <c r="J4" s="12">
        <f>IF(C4="Portrait","1920x1080","1080x1920")</f>
        <v/>
      </c>
      <c r="K4" s="12">
        <f>IF(B4="","",TEXT(32+E4,"000")&amp;".mp4")</f>
        <v/>
      </c>
      <c r="L4" s="12">
        <f>IF(B4="","",TEXT(F4,"000")&amp;".mp4")</f>
        <v/>
      </c>
      <c r="M4" s="15" t="n">
        <v>10</v>
      </c>
      <c r="N4" s="15" t="n">
        <v>0</v>
      </c>
      <c r="O4" s="15" t="n">
        <v>0</v>
      </c>
      <c r="P4" s="15" t="n">
        <v>0</v>
      </c>
      <c r="Q4" s="14" t="n">
        <v>0</v>
      </c>
      <c r="R4" s="14" t="n">
        <v>10</v>
      </c>
      <c r="S4" s="14" t="n">
        <v>0</v>
      </c>
      <c r="T4" s="14" t="n">
        <v>0</v>
      </c>
      <c r="U4" s="16" t="n">
        <v>0</v>
      </c>
      <c r="V4" s="16" t="n">
        <v>0</v>
      </c>
      <c r="W4" s="16" t="n">
        <v>10</v>
      </c>
      <c r="X4" s="16" t="n">
        <v>0</v>
      </c>
      <c r="Y4" s="17" t="n">
        <v>0</v>
      </c>
      <c r="Z4" s="17" t="n">
        <v>0</v>
      </c>
      <c r="AA4" s="17" t="n">
        <v>0</v>
      </c>
      <c r="AB4" s="17" t="n">
        <v>10</v>
      </c>
      <c r="AC4">
        <f>IF(B4="","","  { "&amp;E4&amp;", "&amp;IF(C4="Portrait","Portrait","Landscape")&amp;", "&amp;"{ "&amp;" { "&amp;M4&amp;", "&amp;N4&amp;", "&amp;O4&amp;", "&amp;P4&amp;" }"&amp;", "&amp;" { "&amp;Q4&amp;", "&amp;R4&amp;", "&amp;S4&amp;", "&amp;T4&amp;" }"&amp;", "&amp;" { "&amp;U4&amp;", "&amp;V4&amp;", "&amp;W4&amp;", "&amp;X4&amp;" }"&amp;", "&amp;" { "&amp;Y4&amp;", "&amp;Z4&amp;", "&amp;AA4&amp;", "&amp;AB4&amp;" }"&amp;" }"&amp;" } },")</f>
        <v/>
      </c>
    </row>
    <row r="5">
      <c r="A5" s="12">
        <f>IF(B5="","",ROW()-3)</f>
        <v/>
      </c>
      <c r="B5" s="13" t="inlineStr">
        <is>
          <t>Monet - Rouen Cathedrals</t>
        </is>
      </c>
      <c r="C5" s="14" t="inlineStr">
        <is>
          <t>Portrait</t>
        </is>
      </c>
      <c r="D5" s="12">
        <f>IF(C5="Portrait","Landscape","Portrait")</f>
        <v/>
      </c>
      <c r="E5" s="12">
        <f>IF(B5="","",A5)</f>
        <v/>
      </c>
      <c r="F5" s="12">
        <f>E5+0</f>
        <v/>
      </c>
      <c r="G5" s="12">
        <f>IF(C5="Portrait","WIZ1","WIZ2")</f>
        <v/>
      </c>
      <c r="H5" s="12">
        <f>IF(C5="Portrait","WIZ2","WIZ1")</f>
        <v/>
      </c>
      <c r="I5" s="12">
        <f>IF(C5="Portrait","1080x1920","1920x1080")</f>
        <v/>
      </c>
      <c r="J5" s="12">
        <f>IF(C5="Portrait","1920x1080","1080x1920")</f>
        <v/>
      </c>
      <c r="K5" s="12">
        <f>IF(B5="","",TEXT(32+E5,"000")&amp;".mp4")</f>
        <v/>
      </c>
      <c r="L5" s="12">
        <f>IF(B5="","",TEXT(F5,"000")&amp;".mp4")</f>
        <v/>
      </c>
      <c r="M5" s="15" t="n">
        <v>0</v>
      </c>
      <c r="N5" s="15" t="n">
        <v>0</v>
      </c>
      <c r="O5" s="15" t="n">
        <v>0</v>
      </c>
      <c r="P5" s="15" t="n">
        <v>10</v>
      </c>
      <c r="Q5" s="14" t="n">
        <v>0</v>
      </c>
      <c r="R5" s="14" t="n">
        <v>10</v>
      </c>
      <c r="S5" s="14" t="n">
        <v>0</v>
      </c>
      <c r="T5" s="14" t="n">
        <v>0</v>
      </c>
      <c r="U5" s="16" t="n">
        <v>0</v>
      </c>
      <c r="V5" s="16" t="n">
        <v>0</v>
      </c>
      <c r="W5" s="16" t="n">
        <v>10</v>
      </c>
      <c r="X5" s="16" t="n">
        <v>0</v>
      </c>
      <c r="Y5" s="17" t="n">
        <v>10</v>
      </c>
      <c r="Z5" s="17" t="n">
        <v>0</v>
      </c>
      <c r="AA5" s="17" t="n">
        <v>0</v>
      </c>
      <c r="AB5" s="17" t="n">
        <v>0</v>
      </c>
      <c r="AC5">
        <f>IF(B5="","","  { "&amp;E5&amp;", "&amp;IF(C5="Portrait","Portrait","Landscape")&amp;", "&amp;"{ "&amp;" { "&amp;M5&amp;", "&amp;N5&amp;", "&amp;O5&amp;", "&amp;P5&amp;" }"&amp;", "&amp;" { "&amp;Q5&amp;", "&amp;R5&amp;", "&amp;S5&amp;", "&amp;T5&amp;" }"&amp;", "&amp;" { "&amp;U5&amp;", "&amp;V5&amp;", "&amp;W5&amp;", "&amp;X5&amp;" }"&amp;", "&amp;" { "&amp;Y5&amp;", "&amp;Z5&amp;", "&amp;AA5&amp;", "&amp;AB5&amp;" }"&amp;" }"&amp;" } },")</f>
        <v/>
      </c>
    </row>
    <row r="6">
      <c r="A6" s="12">
        <f>IF(B6="","",ROW()-3)</f>
        <v/>
      </c>
      <c r="B6" s="13" t="inlineStr">
        <is>
          <t>Magritte - Empire of Light</t>
        </is>
      </c>
      <c r="C6" s="14" t="inlineStr">
        <is>
          <t>Portrait</t>
        </is>
      </c>
      <c r="D6" s="12">
        <f>IF(C6="Portrait","Landscape","Portrait")</f>
        <v/>
      </c>
      <c r="E6" s="12">
        <f>IF(B6="","",A6)</f>
        <v/>
      </c>
      <c r="F6" s="12">
        <f>E6+0</f>
        <v/>
      </c>
      <c r="G6" s="12">
        <f>IF(C6="Portrait","WIZ1","WIZ2")</f>
        <v/>
      </c>
      <c r="H6" s="12">
        <f>IF(C6="Portrait","WIZ2","WIZ1")</f>
        <v/>
      </c>
      <c r="I6" s="12">
        <f>IF(C6="Portrait","1080x1920","1920x1080")</f>
        <v/>
      </c>
      <c r="J6" s="12">
        <f>IF(C6="Portrait","1920x1080","1080x1920")</f>
        <v/>
      </c>
      <c r="K6" s="12">
        <f>IF(B6="","",TEXT(32+E6,"000")&amp;".mp4")</f>
        <v/>
      </c>
      <c r="L6" s="12">
        <f>IF(B6="","",TEXT(F6,"000")&amp;".mp4")</f>
        <v/>
      </c>
      <c r="M6" s="15" t="n">
        <v>10</v>
      </c>
      <c r="N6" s="15" t="n">
        <v>0</v>
      </c>
      <c r="O6" s="15" t="n">
        <v>0</v>
      </c>
      <c r="P6" s="15" t="n">
        <v>0</v>
      </c>
      <c r="Q6" s="14" t="n">
        <v>0</v>
      </c>
      <c r="R6" s="14" t="n">
        <v>10</v>
      </c>
      <c r="S6" s="14" t="n">
        <v>0</v>
      </c>
      <c r="T6" s="14" t="n">
        <v>0</v>
      </c>
      <c r="U6" s="16" t="n">
        <v>0</v>
      </c>
      <c r="V6" s="16" t="n">
        <v>0</v>
      </c>
      <c r="W6" s="16" t="n">
        <v>10</v>
      </c>
      <c r="X6" s="16" t="n">
        <v>0</v>
      </c>
      <c r="Y6" s="17" t="n">
        <v>0</v>
      </c>
      <c r="Z6" s="17" t="n">
        <v>0</v>
      </c>
      <c r="AA6" s="17" t="n">
        <v>0</v>
      </c>
      <c r="AB6" s="17" t="n">
        <v>10</v>
      </c>
      <c r="AC6">
        <f>IF(B6="","","  { "&amp;E6&amp;", "&amp;IF(C6="Portrait","Portrait","Landscape")&amp;", "&amp;"{ "&amp;" { "&amp;M6&amp;", "&amp;N6&amp;", "&amp;O6&amp;", "&amp;P6&amp;" }"&amp;", "&amp;" { "&amp;Q6&amp;", "&amp;R6&amp;", "&amp;S6&amp;", "&amp;T6&amp;" }"&amp;", "&amp;" { "&amp;U6&amp;", "&amp;V6&amp;", "&amp;W6&amp;", "&amp;X6&amp;" }"&amp;", "&amp;" { "&amp;Y6&amp;", "&amp;Z6&amp;", "&amp;AA6&amp;", "&amp;AB6&amp;" }"&amp;" }"&amp;" } },")</f>
        <v/>
      </c>
    </row>
    <row r="7">
      <c r="A7" s="12">
        <f>IF(B7="","",ROW()-3)</f>
        <v/>
      </c>
      <c r="B7" s="13" t="inlineStr">
        <is>
          <t>Delaunay / Kirchner - night landscape</t>
        </is>
      </c>
      <c r="C7" s="14" t="inlineStr">
        <is>
          <t>Landscape</t>
        </is>
      </c>
      <c r="D7" s="12">
        <f>IF(C7="Portrait","Landscape","Portrait")</f>
        <v/>
      </c>
      <c r="E7" s="12">
        <f>IF(B7="","",A7)</f>
        <v/>
      </c>
      <c r="F7" s="12">
        <f>E7+0</f>
        <v/>
      </c>
      <c r="G7" s="12">
        <f>IF(C7="Portrait","WIZ1","WIZ2")</f>
        <v/>
      </c>
      <c r="H7" s="12">
        <f>IF(C7="Portrait","WIZ2","WIZ1")</f>
        <v/>
      </c>
      <c r="I7" s="12">
        <f>IF(C7="Portrait","1080x1920","1920x1080")</f>
        <v/>
      </c>
      <c r="J7" s="12">
        <f>IF(C7="Portrait","1920x1080","1080x1920")</f>
        <v/>
      </c>
      <c r="K7" s="12">
        <f>IF(B7="","",TEXT(32+E7,"000")&amp;".mp4")</f>
        <v/>
      </c>
      <c r="L7" s="12">
        <f>IF(B7="","",TEXT(F7,"000")&amp;".mp4")</f>
        <v/>
      </c>
      <c r="M7" s="15" t="n">
        <v>10</v>
      </c>
      <c r="N7" s="15" t="n">
        <v>0</v>
      </c>
      <c r="O7" s="15" t="n">
        <v>0</v>
      </c>
      <c r="P7" s="15" t="n">
        <v>0</v>
      </c>
      <c r="Q7" s="14" t="n">
        <v>0</v>
      </c>
      <c r="R7" s="14" t="n">
        <v>10</v>
      </c>
      <c r="S7" s="14" t="n">
        <v>0</v>
      </c>
      <c r="T7" s="14" t="n">
        <v>0</v>
      </c>
      <c r="U7" s="16" t="n">
        <v>0</v>
      </c>
      <c r="V7" s="16" t="n">
        <v>0</v>
      </c>
      <c r="W7" s="16" t="n">
        <v>10</v>
      </c>
      <c r="X7" s="16" t="n">
        <v>0</v>
      </c>
      <c r="Y7" s="17" t="n">
        <v>0</v>
      </c>
      <c r="Z7" s="17" t="n">
        <v>0</v>
      </c>
      <c r="AA7" s="17" t="n">
        <v>0</v>
      </c>
      <c r="AB7" s="17" t="n">
        <v>10</v>
      </c>
      <c r="AC7">
        <f>IF(B7="","","  { "&amp;E7&amp;", "&amp;IF(C7="Portrait","Portrait","Landscape")&amp;", "&amp;"{ "&amp;" { "&amp;M7&amp;", "&amp;N7&amp;", "&amp;O7&amp;", "&amp;P7&amp;" }"&amp;", "&amp;" { "&amp;Q7&amp;", "&amp;R7&amp;", "&amp;S7&amp;", "&amp;T7&amp;" }"&amp;", "&amp;" { "&amp;U7&amp;", "&amp;V7&amp;", "&amp;W7&amp;", "&amp;X7&amp;" }"&amp;", "&amp;" { "&amp;Y7&amp;", "&amp;Z7&amp;", "&amp;AA7&amp;", "&amp;AB7&amp;" }"&amp;" }"&amp;" } },")</f>
        <v/>
      </c>
    </row>
    <row r="8">
      <c r="A8" s="12">
        <f>IF(B8="","",ROW()-3)</f>
        <v/>
      </c>
      <c r="B8" s="13" t="inlineStr">
        <is>
          <t>Van Gogh - Starry Night</t>
        </is>
      </c>
      <c r="C8" s="14" t="inlineStr">
        <is>
          <t>Landscape</t>
        </is>
      </c>
      <c r="D8" s="12">
        <f>IF(C8="Portrait","Landscape","Portrait")</f>
        <v/>
      </c>
      <c r="E8" s="12">
        <f>IF(B8="","",A8)</f>
        <v/>
      </c>
      <c r="F8" s="12">
        <f>E8+0</f>
        <v/>
      </c>
      <c r="G8" s="12">
        <f>IF(C8="Portrait","WIZ1","WIZ2")</f>
        <v/>
      </c>
      <c r="H8" s="12">
        <f>IF(C8="Portrait","WIZ2","WIZ1")</f>
        <v/>
      </c>
      <c r="I8" s="12">
        <f>IF(C8="Portrait","1080x1920","1920x1080")</f>
        <v/>
      </c>
      <c r="J8" s="12">
        <f>IF(C8="Portrait","1920x1080","1080x1920")</f>
        <v/>
      </c>
      <c r="K8" s="12">
        <f>IF(B8="","",TEXT(32+E8,"000")&amp;".mp4")</f>
        <v/>
      </c>
      <c r="L8" s="12">
        <f>IF(B8="","",TEXT(F8,"000")&amp;".mp4")</f>
        <v/>
      </c>
      <c r="M8" s="15" t="n">
        <v>10</v>
      </c>
      <c r="N8" s="15" t="n">
        <v>0</v>
      </c>
      <c r="O8" s="15" t="n">
        <v>0</v>
      </c>
      <c r="P8" s="15" t="n">
        <v>0</v>
      </c>
      <c r="Q8" s="14" t="n">
        <v>0</v>
      </c>
      <c r="R8" s="14" t="n">
        <v>10</v>
      </c>
      <c r="S8" s="14" t="n">
        <v>0</v>
      </c>
      <c r="T8" s="14" t="n">
        <v>0</v>
      </c>
      <c r="U8" s="16" t="n">
        <v>0</v>
      </c>
      <c r="V8" s="16" t="n">
        <v>0</v>
      </c>
      <c r="W8" s="16" t="n">
        <v>10</v>
      </c>
      <c r="X8" s="16" t="n">
        <v>0</v>
      </c>
      <c r="Y8" s="17" t="n">
        <v>0</v>
      </c>
      <c r="Z8" s="17" t="n">
        <v>0</v>
      </c>
      <c r="AA8" s="17" t="n">
        <v>0</v>
      </c>
      <c r="AB8" s="17" t="n">
        <v>10</v>
      </c>
      <c r="AC8">
        <f>IF(B8="","","  { "&amp;E8&amp;", "&amp;IF(C8="Portrait","Portrait","Landscape")&amp;", "&amp;"{ "&amp;" { "&amp;M8&amp;", "&amp;N8&amp;", "&amp;O8&amp;", "&amp;P8&amp;" }"&amp;", "&amp;" { "&amp;Q8&amp;", "&amp;R8&amp;", "&amp;S8&amp;", "&amp;T8&amp;" }"&amp;", "&amp;" { "&amp;U8&amp;", "&amp;V8&amp;", "&amp;W8&amp;", "&amp;X8&amp;" }"&amp;", "&amp;" { "&amp;Y8&amp;", "&amp;Z8&amp;", "&amp;AA8&amp;", "&amp;AB8&amp;" }"&amp;" }"&amp;" } },")</f>
        <v/>
      </c>
    </row>
    <row r="9">
      <c r="A9" s="12">
        <f>IF(B9="","",ROW()-3)</f>
        <v/>
      </c>
      <c r="B9" s="13" t="inlineStr">
        <is>
          <t>Hopper - Nighthawks (Q6A)</t>
        </is>
      </c>
      <c r="C9" s="14" t="inlineStr">
        <is>
          <t>Landscape</t>
        </is>
      </c>
      <c r="D9" s="12">
        <f>IF(C9="Portrait","Landscape","Portrait")</f>
        <v/>
      </c>
      <c r="E9" s="12">
        <f>IF(B9="","",A9)</f>
        <v/>
      </c>
      <c r="F9" s="12">
        <f>E9+0</f>
        <v/>
      </c>
      <c r="G9" s="12">
        <f>IF(C9="Portrait","WIZ1","WIZ2")</f>
        <v/>
      </c>
      <c r="H9" s="12">
        <f>IF(C9="Portrait","WIZ2","WIZ1")</f>
        <v/>
      </c>
      <c r="I9" s="12">
        <f>IF(C9="Portrait","1080x1920","1920x1080")</f>
        <v/>
      </c>
      <c r="J9" s="12">
        <f>IF(C9="Portrait","1920x1080","1080x1920")</f>
        <v/>
      </c>
      <c r="K9" s="12">
        <f>IF(B9="","",TEXT(32+E9,"000")&amp;".mp4")</f>
        <v/>
      </c>
      <c r="L9" s="12">
        <f>IF(B9="","",TEXT(F9,"000")&amp;".mp4")</f>
        <v/>
      </c>
      <c r="M9" s="15" t="n">
        <v>10</v>
      </c>
      <c r="N9" s="15" t="n">
        <v>0</v>
      </c>
      <c r="O9" s="15" t="n">
        <v>0</v>
      </c>
      <c r="P9" s="15" t="n">
        <v>0</v>
      </c>
      <c r="Q9" s="14" t="n">
        <v>0</v>
      </c>
      <c r="R9" s="14" t="n">
        <v>0</v>
      </c>
      <c r="S9" s="14" t="n">
        <v>0</v>
      </c>
      <c r="T9" s="14" t="n">
        <v>10</v>
      </c>
      <c r="U9" s="16" t="n">
        <v>0</v>
      </c>
      <c r="V9" s="16" t="n">
        <v>0</v>
      </c>
      <c r="W9" s="16" t="n">
        <v>10</v>
      </c>
      <c r="X9" s="16" t="n">
        <v>0</v>
      </c>
      <c r="Y9" s="17" t="n">
        <v>0</v>
      </c>
      <c r="Z9" s="17" t="n">
        <v>10</v>
      </c>
      <c r="AA9" s="17" t="n">
        <v>0</v>
      </c>
      <c r="AB9" s="17" t="n">
        <v>0</v>
      </c>
      <c r="AC9">
        <f>IF(B9="","","  { "&amp;E9&amp;", "&amp;IF(C9="Portrait","Portrait","Landscape")&amp;", "&amp;"{ "&amp;" { "&amp;M9&amp;", "&amp;N9&amp;", "&amp;O9&amp;", "&amp;P9&amp;" }"&amp;", "&amp;" { "&amp;Q9&amp;", "&amp;R9&amp;", "&amp;S9&amp;", "&amp;T9&amp;" }"&amp;", "&amp;" { "&amp;U9&amp;", "&amp;V9&amp;", "&amp;W9&amp;", "&amp;X9&amp;" }"&amp;", "&amp;" { "&amp;Y9&amp;", "&amp;Z9&amp;", "&amp;AA9&amp;", "&amp;AB9&amp;" }"&amp;" }"&amp;" } },")</f>
        <v/>
      </c>
    </row>
    <row r="10">
      <c r="A10" s="12">
        <f>IF(B10="","",ROW()-3)</f>
        <v/>
      </c>
      <c r="B10" s="13" t="inlineStr">
        <is>
          <t>Hopper - Night Windows (Q6B)</t>
        </is>
      </c>
      <c r="C10" s="14" t="inlineStr">
        <is>
          <t>Landscape</t>
        </is>
      </c>
      <c r="D10" s="12">
        <f>IF(C10="Portrait","Landscape","Portrait")</f>
        <v/>
      </c>
      <c r="E10" s="12">
        <f>IF(B10="","",A10)</f>
        <v/>
      </c>
      <c r="F10" s="12">
        <f>E10+0</f>
        <v/>
      </c>
      <c r="G10" s="12">
        <f>IF(C10="Portrait","WIZ1","WIZ2")</f>
        <v/>
      </c>
      <c r="H10" s="12">
        <f>IF(C10="Portrait","WIZ2","WIZ1")</f>
        <v/>
      </c>
      <c r="I10" s="12">
        <f>IF(C10="Portrait","1080x1920","1920x1080")</f>
        <v/>
      </c>
      <c r="J10" s="12">
        <f>IF(C10="Portrait","1920x1080","1080x1920")</f>
        <v/>
      </c>
      <c r="K10" s="12">
        <f>IF(B10="","",TEXT(32+E10,"000")&amp;".mp4")</f>
        <v/>
      </c>
      <c r="L10" s="12">
        <f>IF(B10="","",TEXT(F10,"000")&amp;".mp4")</f>
        <v/>
      </c>
      <c r="M10" s="15" t="n">
        <v>0</v>
      </c>
      <c r="N10" s="15" t="n">
        <v>10</v>
      </c>
      <c r="O10" s="15" t="n">
        <v>0</v>
      </c>
      <c r="P10" s="15" t="n">
        <v>0</v>
      </c>
      <c r="Q10" s="14" t="n">
        <v>0</v>
      </c>
      <c r="R10" s="14" t="n">
        <v>0</v>
      </c>
      <c r="S10" s="14" t="n">
        <v>10</v>
      </c>
      <c r="T10" s="14" t="n">
        <v>0</v>
      </c>
      <c r="U10" s="16" t="n">
        <v>0</v>
      </c>
      <c r="V10" s="16" t="n">
        <v>0</v>
      </c>
      <c r="W10" s="16" t="n">
        <v>0</v>
      </c>
      <c r="X10" s="16" t="n">
        <v>10</v>
      </c>
      <c r="Y10" s="17" t="n">
        <v>10</v>
      </c>
      <c r="Z10" s="17" t="n">
        <v>0</v>
      </c>
      <c r="AA10" s="17" t="n">
        <v>0</v>
      </c>
      <c r="AB10" s="17" t="n">
        <v>0</v>
      </c>
      <c r="AC10">
        <f>IF(B10="","","  { "&amp;E10&amp;", "&amp;IF(C10="Portrait","Portrait","Landscape")&amp;", "&amp;"{ "&amp;" { "&amp;M10&amp;", "&amp;N10&amp;", "&amp;O10&amp;", "&amp;P10&amp;" }"&amp;", "&amp;" { "&amp;Q10&amp;", "&amp;R10&amp;", "&amp;S10&amp;", "&amp;T10&amp;" }"&amp;", "&amp;" { "&amp;U10&amp;", "&amp;V10&amp;", "&amp;W10&amp;", "&amp;X10&amp;" }"&amp;", "&amp;" { "&amp;Y10&amp;", "&amp;Z10&amp;", "&amp;AA10&amp;", "&amp;AB10&amp;" }"&amp;" }"&amp;" } },")</f>
        <v/>
      </c>
    </row>
    <row r="11">
      <c r="A11" s="12">
        <f>IF(B11="","",ROW()-3)</f>
        <v/>
      </c>
      <c r="B11" s="13" t="inlineStr">
        <is>
          <t>Photo - Sudek / Brassai (Q7)</t>
        </is>
      </c>
      <c r="C11" s="14" t="inlineStr">
        <is>
          <t>Portrait</t>
        </is>
      </c>
      <c r="D11" s="12">
        <f>IF(C11="Portrait","Landscape","Portrait")</f>
        <v/>
      </c>
      <c r="E11" s="12">
        <f>IF(B11="","",A11)</f>
        <v/>
      </c>
      <c r="F11" s="12">
        <f>E11+0</f>
        <v/>
      </c>
      <c r="G11" s="12">
        <f>IF(C11="Portrait","WIZ1","WIZ2")</f>
        <v/>
      </c>
      <c r="H11" s="12">
        <f>IF(C11="Portrait","WIZ2","WIZ1")</f>
        <v/>
      </c>
      <c r="I11" s="12">
        <f>IF(C11="Portrait","1080x1920","1920x1080")</f>
        <v/>
      </c>
      <c r="J11" s="12">
        <f>IF(C11="Portrait","1920x1080","1080x1920")</f>
        <v/>
      </c>
      <c r="K11" s="12">
        <f>IF(B11="","",TEXT(32+E11,"000")&amp;".mp4")</f>
        <v/>
      </c>
      <c r="L11" s="12">
        <f>IF(B11="","",TEXT(F11,"000")&amp;".mp4")</f>
        <v/>
      </c>
      <c r="M11" s="15" t="n">
        <v>0</v>
      </c>
      <c r="N11" s="15" t="n">
        <v>0</v>
      </c>
      <c r="O11" s="15" t="n">
        <v>10</v>
      </c>
      <c r="P11" s="15" t="n">
        <v>0</v>
      </c>
      <c r="Q11" s="14" t="n">
        <v>0</v>
      </c>
      <c r="R11" s="14" t="n">
        <v>0</v>
      </c>
      <c r="S11" s="14" t="n">
        <v>0</v>
      </c>
      <c r="T11" s="14" t="n">
        <v>10</v>
      </c>
      <c r="U11" s="16" t="n">
        <v>0</v>
      </c>
      <c r="V11" s="16" t="n">
        <v>10</v>
      </c>
      <c r="W11" s="16" t="n">
        <v>0</v>
      </c>
      <c r="X11" s="16" t="n">
        <v>0</v>
      </c>
      <c r="Y11" s="17" t="n">
        <v>10</v>
      </c>
      <c r="Z11" s="17" t="n">
        <v>0</v>
      </c>
      <c r="AA11" s="17" t="n">
        <v>0</v>
      </c>
      <c r="AB11" s="17" t="n">
        <v>0</v>
      </c>
      <c r="AC11">
        <f>IF(B11="","","  { "&amp;E11&amp;", "&amp;IF(C11="Portrait","Portrait","Landscape")&amp;", "&amp;"{ "&amp;" { "&amp;M11&amp;", "&amp;N11&amp;", "&amp;O11&amp;", "&amp;P11&amp;" }"&amp;", "&amp;" { "&amp;Q11&amp;", "&amp;R11&amp;", "&amp;S11&amp;", "&amp;T11&amp;" }"&amp;", "&amp;" { "&amp;U11&amp;", "&amp;V11&amp;", "&amp;W11&amp;", "&amp;X11&amp;" }"&amp;", "&amp;" { "&amp;Y11&amp;", "&amp;Z11&amp;", "&amp;AA11&amp;", "&amp;AB11&amp;" }"&amp;" }"&amp;" } },")</f>
        <v/>
      </c>
    </row>
    <row r="12">
      <c r="A12" s="12">
        <f>IF(B12="","",ROW()-3)</f>
        <v/>
      </c>
      <c r="B12" s="13" t="inlineStr">
        <is>
          <t>Fuseli - The Nightmare</t>
        </is>
      </c>
      <c r="C12" s="14" t="inlineStr">
        <is>
          <t>Landscape</t>
        </is>
      </c>
      <c r="D12" s="12">
        <f>IF(C12="Portrait","Landscape","Portrait")</f>
        <v/>
      </c>
      <c r="E12" s="12">
        <f>IF(B12="","",A12)</f>
        <v/>
      </c>
      <c r="F12" s="12">
        <f>E12+0</f>
        <v/>
      </c>
      <c r="G12" s="12">
        <f>IF(C12="Portrait","WIZ1","WIZ2")</f>
        <v/>
      </c>
      <c r="H12" s="12">
        <f>IF(C12="Portrait","WIZ2","WIZ1")</f>
        <v/>
      </c>
      <c r="I12" s="12">
        <f>IF(C12="Portrait","1080x1920","1920x1080")</f>
        <v/>
      </c>
      <c r="J12" s="12">
        <f>IF(C12="Portrait","1920x1080","1080x1920")</f>
        <v/>
      </c>
      <c r="K12" s="12">
        <f>IF(B12="","",TEXT(32+E12,"000")&amp;".mp4")</f>
        <v/>
      </c>
      <c r="L12" s="12">
        <f>IF(B12="","",TEXT(F12,"000")&amp;".mp4")</f>
        <v/>
      </c>
      <c r="M12" s="15" t="n">
        <v>10</v>
      </c>
      <c r="N12" s="15" t="n">
        <v>0</v>
      </c>
      <c r="O12" s="15" t="n">
        <v>0</v>
      </c>
      <c r="P12" s="15" t="n">
        <v>0</v>
      </c>
      <c r="Q12" s="14" t="n">
        <v>0</v>
      </c>
      <c r="R12" s="14" t="n">
        <v>0</v>
      </c>
      <c r="S12" s="14" t="n">
        <v>0</v>
      </c>
      <c r="T12" s="14" t="n">
        <v>10</v>
      </c>
      <c r="U12" s="16" t="n">
        <v>0</v>
      </c>
      <c r="V12" s="16" t="n">
        <v>10</v>
      </c>
      <c r="W12" s="16" t="n">
        <v>0</v>
      </c>
      <c r="X12" s="16" t="n">
        <v>0</v>
      </c>
      <c r="Y12" s="17" t="n">
        <v>0</v>
      </c>
      <c r="Z12" s="17" t="n">
        <v>0</v>
      </c>
      <c r="AA12" s="17" t="n">
        <v>10</v>
      </c>
      <c r="AB12" s="17" t="n">
        <v>0</v>
      </c>
      <c r="AC12">
        <f>IF(B12="","","  { "&amp;E12&amp;", "&amp;IF(C12="Portrait","Portrait","Landscape")&amp;", "&amp;"{ "&amp;" { "&amp;M12&amp;", "&amp;N12&amp;", "&amp;O12&amp;", "&amp;P12&amp;" }"&amp;", "&amp;" { "&amp;Q12&amp;", "&amp;R12&amp;", "&amp;S12&amp;", "&amp;T12&amp;" }"&amp;", "&amp;" { "&amp;U12&amp;", "&amp;V12&amp;", "&amp;W12&amp;", "&amp;X12&amp;" }"&amp;", "&amp;" { "&amp;Y12&amp;", "&amp;Z12&amp;", "&amp;AA12&amp;", "&amp;AB12&amp;" }"&amp;" }"&amp;" } },")</f>
        <v/>
      </c>
    </row>
    <row r="13">
      <c r="A13" s="12">
        <f>IF(B13="","",ROW()-3)</f>
        <v/>
      </c>
      <c r="B13" s="13" t="inlineStr">
        <is>
          <t>Soulages - Outrenoir</t>
        </is>
      </c>
      <c r="C13" s="14" t="inlineStr">
        <is>
          <t>Landscape</t>
        </is>
      </c>
      <c r="D13" s="12">
        <f>IF(C13="Portrait","Landscape","Portrait")</f>
        <v/>
      </c>
      <c r="E13" s="12">
        <f>IF(B13="","",A13)</f>
        <v/>
      </c>
      <c r="F13" s="12">
        <f>E13+0</f>
        <v/>
      </c>
      <c r="G13" s="12">
        <f>IF(C13="Portrait","WIZ1","WIZ2")</f>
        <v/>
      </c>
      <c r="H13" s="12">
        <f>IF(C13="Portrait","WIZ2","WIZ1")</f>
        <v/>
      </c>
      <c r="I13" s="12">
        <f>IF(C13="Portrait","1080x1920","1920x1080")</f>
        <v/>
      </c>
      <c r="J13" s="12">
        <f>IF(C13="Portrait","1920x1080","1080x1920")</f>
        <v/>
      </c>
      <c r="K13" s="12">
        <f>IF(B13="","",TEXT(32+E13,"000")&amp;".mp4")</f>
        <v/>
      </c>
      <c r="L13" s="12">
        <f>IF(B13="","",TEXT(F13,"000")&amp;".mp4")</f>
        <v/>
      </c>
      <c r="M13" s="15" t="n">
        <v>0</v>
      </c>
      <c r="N13" s="15" t="n">
        <v>0</v>
      </c>
      <c r="O13" s="15" t="n">
        <v>10</v>
      </c>
      <c r="P13" s="15" t="n">
        <v>0</v>
      </c>
      <c r="Q13" s="14" t="n">
        <v>0</v>
      </c>
      <c r="R13" s="14" t="n">
        <v>0</v>
      </c>
      <c r="S13" s="14" t="n">
        <v>0</v>
      </c>
      <c r="T13" s="14" t="n">
        <v>10</v>
      </c>
      <c r="U13" s="16" t="n">
        <v>0</v>
      </c>
      <c r="V13" s="16" t="n">
        <v>10</v>
      </c>
      <c r="W13" s="16" t="n">
        <v>0</v>
      </c>
      <c r="X13" s="16" t="n">
        <v>0</v>
      </c>
      <c r="Y13" s="17" t="n">
        <v>10</v>
      </c>
      <c r="Z13" s="17" t="n">
        <v>0</v>
      </c>
      <c r="AA13" s="17" t="n">
        <v>0</v>
      </c>
      <c r="AB13" s="17" t="n">
        <v>0</v>
      </c>
      <c r="AC13">
        <f>IF(B13="","","  { "&amp;E13&amp;", "&amp;IF(C13="Portrait","Portrait","Landscape")&amp;", "&amp;"{ "&amp;" { "&amp;M13&amp;", "&amp;N13&amp;", "&amp;O13&amp;", "&amp;P13&amp;" }"&amp;", "&amp;" { "&amp;Q13&amp;", "&amp;R13&amp;", "&amp;S13&amp;", "&amp;T13&amp;" }"&amp;", "&amp;" { "&amp;U13&amp;", "&amp;V13&amp;", "&amp;W13&amp;", "&amp;X13&amp;" }"&amp;", "&amp;" { "&amp;Y13&amp;", "&amp;Z13&amp;", "&amp;AA13&amp;", "&amp;AB13&amp;" }"&amp;" }"&amp;" } },")</f>
        <v/>
      </c>
    </row>
    <row r="14">
      <c r="A14" s="12">
        <f>IF(B14="","",ROW()-3)</f>
        <v/>
      </c>
      <c r="B14" s="13" t="inlineStr">
        <is>
          <t>Vallotton - The Bibliophile</t>
        </is>
      </c>
      <c r="C14" s="14" t="inlineStr">
        <is>
          <t>Portrait</t>
        </is>
      </c>
      <c r="D14" s="12">
        <f>IF(C14="Portrait","Landscape","Portrait")</f>
        <v/>
      </c>
      <c r="E14" s="12">
        <f>IF(B14="","",A14)</f>
        <v/>
      </c>
      <c r="F14" s="12">
        <f>E14+0</f>
        <v/>
      </c>
      <c r="G14" s="12">
        <f>IF(C14="Portrait","WIZ1","WIZ2")</f>
        <v/>
      </c>
      <c r="H14" s="12">
        <f>IF(C14="Portrait","WIZ2","WIZ1")</f>
        <v/>
      </c>
      <c r="I14" s="12">
        <f>IF(C14="Portrait","1080x1920","1920x1080")</f>
        <v/>
      </c>
      <c r="J14" s="12">
        <f>IF(C14="Portrait","1920x1080","1080x1920")</f>
        <v/>
      </c>
      <c r="K14" s="12">
        <f>IF(B14="","",TEXT(32+E14,"000")&amp;".mp4")</f>
        <v/>
      </c>
      <c r="L14" s="12">
        <f>IF(B14="","",TEXT(F14,"000")&amp;".mp4")</f>
        <v/>
      </c>
      <c r="M14" s="15" t="n">
        <v>10</v>
      </c>
      <c r="N14" s="15" t="n">
        <v>0</v>
      </c>
      <c r="O14" s="15" t="n">
        <v>0</v>
      </c>
      <c r="P14" s="15" t="n">
        <v>0</v>
      </c>
      <c r="Q14" s="14" t="n">
        <v>0</v>
      </c>
      <c r="R14" s="14" t="n">
        <v>0</v>
      </c>
      <c r="S14" s="14" t="n">
        <v>0</v>
      </c>
      <c r="T14" s="14" t="n">
        <v>10</v>
      </c>
      <c r="U14" s="16" t="n">
        <v>0</v>
      </c>
      <c r="V14" s="16" t="n">
        <v>10</v>
      </c>
      <c r="W14" s="16" t="n">
        <v>0</v>
      </c>
      <c r="X14" s="16" t="n">
        <v>0</v>
      </c>
      <c r="Y14" s="17" t="n">
        <v>0</v>
      </c>
      <c r="Z14" s="17" t="n">
        <v>0</v>
      </c>
      <c r="AA14" s="17" t="n">
        <v>10</v>
      </c>
      <c r="AB14" s="17" t="n">
        <v>0</v>
      </c>
      <c r="AC14">
        <f>IF(B14="","","  { "&amp;E14&amp;", "&amp;IF(C14="Portrait","Portrait","Landscape")&amp;", "&amp;"{ "&amp;" { "&amp;M14&amp;", "&amp;N14&amp;", "&amp;O14&amp;", "&amp;P14&amp;" }"&amp;", "&amp;" { "&amp;Q14&amp;", "&amp;R14&amp;", "&amp;S14&amp;", "&amp;T14&amp;" }"&amp;", "&amp;" { "&amp;U14&amp;", "&amp;V14&amp;", "&amp;W14&amp;", "&amp;X14&amp;" }"&amp;", "&amp;" { "&amp;Y14&amp;", "&amp;Z14&amp;", "&amp;AA14&amp;", "&amp;AB14&amp;" }"&amp;" }"&amp;" } },")</f>
        <v/>
      </c>
    </row>
    <row r="15">
      <c r="A15" s="12">
        <f>IF(B15="","",ROW()-3)</f>
        <v/>
      </c>
      <c r="B15" s="13" t="inlineStr">
        <is>
          <t>Grandville - Cast Shadows</t>
        </is>
      </c>
      <c r="C15" s="14" t="inlineStr">
        <is>
          <t>Landscape</t>
        </is>
      </c>
      <c r="D15" s="12">
        <f>IF(C15="Portrait","Landscape","Portrait")</f>
        <v/>
      </c>
      <c r="E15" s="12">
        <f>IF(B15="","",A15)</f>
        <v/>
      </c>
      <c r="F15" s="12">
        <f>E15+0</f>
        <v/>
      </c>
      <c r="G15" s="12">
        <f>IF(C15="Portrait","WIZ1","WIZ2")</f>
        <v/>
      </c>
      <c r="H15" s="12">
        <f>IF(C15="Portrait","WIZ2","WIZ1")</f>
        <v/>
      </c>
      <c r="I15" s="12">
        <f>IF(C15="Portrait","1080x1920","1920x1080")</f>
        <v/>
      </c>
      <c r="J15" s="12">
        <f>IF(C15="Portrait","1920x1080","1080x1920")</f>
        <v/>
      </c>
      <c r="K15" s="12">
        <f>IF(B15="","",TEXT(32+E15,"000")&amp;".mp4")</f>
        <v/>
      </c>
      <c r="L15" s="12">
        <f>IF(B15="","",TEXT(F15,"000")&amp;".mp4")</f>
        <v/>
      </c>
      <c r="M15" s="15" t="n">
        <v>0</v>
      </c>
      <c r="N15" s="15" t="n">
        <v>10</v>
      </c>
      <c r="O15" s="15" t="n">
        <v>0</v>
      </c>
      <c r="P15" s="15" t="n">
        <v>0</v>
      </c>
      <c r="Q15" s="14" t="n">
        <v>10</v>
      </c>
      <c r="R15" s="14" t="n">
        <v>0</v>
      </c>
      <c r="S15" s="14" t="n">
        <v>0</v>
      </c>
      <c r="T15" s="14" t="n">
        <v>0</v>
      </c>
      <c r="U15" s="16" t="n">
        <v>0</v>
      </c>
      <c r="V15" s="16" t="n">
        <v>0</v>
      </c>
      <c r="W15" s="16" t="n">
        <v>10</v>
      </c>
      <c r="X15" s="16" t="n">
        <v>0</v>
      </c>
      <c r="Y15" s="17" t="n">
        <v>0</v>
      </c>
      <c r="Z15" s="17" t="n">
        <v>0</v>
      </c>
      <c r="AA15" s="17" t="n">
        <v>0</v>
      </c>
      <c r="AB15" s="17" t="n">
        <v>10</v>
      </c>
      <c r="AC15">
        <f>IF(B15="","","  { "&amp;E15&amp;", "&amp;IF(C15="Portrait","Portrait","Landscape")&amp;", "&amp;"{ "&amp;" { "&amp;M15&amp;", "&amp;N15&amp;", "&amp;O15&amp;", "&amp;P15&amp;" }"&amp;", "&amp;" { "&amp;Q15&amp;", "&amp;R15&amp;", "&amp;S15&amp;", "&amp;T15&amp;" }"&amp;", "&amp;" { "&amp;U15&amp;", "&amp;V15&amp;", "&amp;W15&amp;", "&amp;X15&amp;" }"&amp;", "&amp;" { "&amp;Y15&amp;", "&amp;Z15&amp;", "&amp;AA15&amp;", "&amp;AB15&amp;" }"&amp;" }"&amp;" } },")</f>
        <v/>
      </c>
    </row>
    <row r="16">
      <c r="A16" s="12">
        <f>IF(B16="","",ROW()-3)</f>
        <v/>
      </c>
      <c r="B16" s="13" t="inlineStr">
        <is>
          <t>Your work - final 4 motifs Q12</t>
        </is>
      </c>
      <c r="C16" s="14" t="inlineStr">
        <is>
          <t>Portrait</t>
        </is>
      </c>
      <c r="D16" s="12">
        <f>IF(C16="Portrait","Landscape","Portrait")</f>
        <v/>
      </c>
      <c r="E16" s="12">
        <f>IF(B16="","",A16)</f>
        <v/>
      </c>
      <c r="F16" s="12">
        <f>E16+0</f>
        <v/>
      </c>
      <c r="G16" s="12">
        <f>IF(C16="Portrait","WIZ1","WIZ2")</f>
        <v/>
      </c>
      <c r="H16" s="12">
        <f>IF(C16="Portrait","WIZ2","WIZ1")</f>
        <v/>
      </c>
      <c r="I16" s="12">
        <f>IF(C16="Portrait","1080x1920","1920x1080")</f>
        <v/>
      </c>
      <c r="J16" s="12">
        <f>IF(C16="Portrait","1920x1080","1080x1920")</f>
        <v/>
      </c>
      <c r="K16" s="12">
        <f>IF(B16="","",TEXT(32+E16,"000")&amp;".mp4")</f>
        <v/>
      </c>
      <c r="L16" s="12">
        <f>IF(B16="","",TEXT(F16,"000")&amp;".mp4")</f>
        <v/>
      </c>
      <c r="M16" s="15" t="n">
        <v>10</v>
      </c>
      <c r="N16" s="15" t="n">
        <v>0</v>
      </c>
      <c r="O16" s="15" t="n">
        <v>0</v>
      </c>
      <c r="P16" s="15" t="n">
        <v>0</v>
      </c>
      <c r="Q16" s="14" t="n">
        <v>0</v>
      </c>
      <c r="R16" s="14" t="n">
        <v>0</v>
      </c>
      <c r="S16" s="14" t="n">
        <v>0</v>
      </c>
      <c r="T16" s="14" t="n">
        <v>10</v>
      </c>
      <c r="U16" s="16" t="n">
        <v>0</v>
      </c>
      <c r="V16" s="16" t="n">
        <v>10</v>
      </c>
      <c r="W16" s="16" t="n">
        <v>0</v>
      </c>
      <c r="X16" s="16" t="n">
        <v>0</v>
      </c>
      <c r="Y16" s="17" t="n">
        <v>0</v>
      </c>
      <c r="Z16" s="17" t="n">
        <v>0</v>
      </c>
      <c r="AA16" s="17" t="n">
        <v>10</v>
      </c>
      <c r="AB16" s="17" t="n">
        <v>0</v>
      </c>
      <c r="AC16">
        <f>IF(B16="","","  { "&amp;E16&amp;", "&amp;IF(C16="Portrait","Portrait","Landscape")&amp;", "&amp;"{ "&amp;" { "&amp;M16&amp;", "&amp;N16&amp;", "&amp;O16&amp;", "&amp;P16&amp;" }"&amp;", "&amp;" { "&amp;Q16&amp;", "&amp;R16&amp;", "&amp;S16&amp;", "&amp;T16&amp;" }"&amp;", "&amp;" { "&amp;U16&amp;", "&amp;V16&amp;", "&amp;W16&amp;", "&amp;X16&amp;" }"&amp;", "&amp;" { "&amp;Y16&amp;", "&amp;Z16&amp;", "&amp;AA16&amp;", "&amp;AB16&amp;" }"&amp;" }"&amp;" } },")</f>
        <v/>
      </c>
    </row>
    <row r="17">
      <c r="A17" s="12">
        <f>IF(B17="","",ROW()-3)</f>
        <v/>
      </c>
      <c r="B17" s="13" t="n"/>
      <c r="C17" s="14" t="inlineStr">
        <is>
          <t>Portrait</t>
        </is>
      </c>
      <c r="D17" s="12">
        <f>IF(C17="Portrait","Landscape","Portrait")</f>
        <v/>
      </c>
      <c r="E17" s="12">
        <f>IF(B17="","",A17)</f>
        <v/>
      </c>
      <c r="F17" s="12">
        <f>E17+0</f>
        <v/>
      </c>
      <c r="G17" s="12">
        <f>IF(C17="Portrait","WIZ1","WIZ2")</f>
        <v/>
      </c>
      <c r="H17" s="12">
        <f>IF(C17="Portrait","WIZ2","WIZ1")</f>
        <v/>
      </c>
      <c r="I17" s="12">
        <f>IF(C17="Portrait","1080x1920","1920x1080")</f>
        <v/>
      </c>
      <c r="J17" s="12">
        <f>IF(C17="Portrait","1920x1080","1080x1920")</f>
        <v/>
      </c>
      <c r="K17" s="12">
        <f>IF(B17="","",TEXT(32+E17,"000")&amp;".mp4")</f>
        <v/>
      </c>
      <c r="L17" s="12">
        <f>IF(B17="","",TEXT(F17,"000")&amp;".mp4")</f>
        <v/>
      </c>
      <c r="M17" s="15" t="n"/>
      <c r="N17" s="15" t="n"/>
      <c r="O17" s="15" t="n"/>
      <c r="P17" s="15" t="n"/>
      <c r="Q17" s="14" t="n"/>
      <c r="R17" s="14" t="n"/>
      <c r="S17" s="14" t="n"/>
      <c r="T17" s="14" t="n"/>
      <c r="U17" s="16" t="n"/>
      <c r="V17" s="16" t="n"/>
      <c r="W17" s="16" t="n"/>
      <c r="X17" s="16" t="n"/>
      <c r="Y17" s="17" t="n"/>
      <c r="Z17" s="17" t="n"/>
      <c r="AA17" s="17" t="n"/>
      <c r="AB17" s="17" t="n"/>
      <c r="AC17">
        <f>IF(B17="","","  { "&amp;E17&amp;", "&amp;IF(C17="Portrait","Portrait","Landscape")&amp;", "&amp;"{ "&amp;" { "&amp;M17&amp;", "&amp;N17&amp;", "&amp;O17&amp;", "&amp;P17&amp;" }"&amp;", "&amp;" { "&amp;Q17&amp;", "&amp;R17&amp;", "&amp;S17&amp;", "&amp;T17&amp;" }"&amp;", "&amp;" { "&amp;U17&amp;", "&amp;V17&amp;", "&amp;W17&amp;", "&amp;X17&amp;" }"&amp;", "&amp;" { "&amp;Y17&amp;", "&amp;Z17&amp;", "&amp;AA17&amp;", "&amp;AB17&amp;" }"&amp;" }"&amp;" } },")</f>
        <v/>
      </c>
    </row>
    <row r="18">
      <c r="A18" s="12">
        <f>IF(B18="","",ROW()-3)</f>
        <v/>
      </c>
      <c r="B18" s="13" t="n"/>
      <c r="C18" s="14" t="inlineStr">
        <is>
          <t>Portrait</t>
        </is>
      </c>
      <c r="D18" s="12">
        <f>IF(C18="Portrait","Landscape","Portrait")</f>
        <v/>
      </c>
      <c r="E18" s="12">
        <f>IF(B18="","",A18)</f>
        <v/>
      </c>
      <c r="F18" s="12">
        <f>E18+0</f>
        <v/>
      </c>
      <c r="G18" s="12">
        <f>IF(C18="Portrait","WIZ1","WIZ2")</f>
        <v/>
      </c>
      <c r="H18" s="12">
        <f>IF(C18="Portrait","WIZ2","WIZ1")</f>
        <v/>
      </c>
      <c r="I18" s="12">
        <f>IF(C18="Portrait","1080x1920","1920x1080")</f>
        <v/>
      </c>
      <c r="J18" s="12">
        <f>IF(C18="Portrait","1920x1080","1080x1920")</f>
        <v/>
      </c>
      <c r="K18" s="12">
        <f>IF(B18="","",TEXT(32+E18,"000")&amp;".mp4")</f>
        <v/>
      </c>
      <c r="L18" s="12">
        <f>IF(B18="","",TEXT(F18,"000")&amp;".mp4")</f>
        <v/>
      </c>
      <c r="M18" s="15" t="n"/>
      <c r="N18" s="15" t="n"/>
      <c r="O18" s="15" t="n"/>
      <c r="P18" s="15" t="n"/>
      <c r="Q18" s="14" t="n"/>
      <c r="R18" s="14" t="n"/>
      <c r="S18" s="14" t="n"/>
      <c r="T18" s="14" t="n"/>
      <c r="U18" s="16" t="n"/>
      <c r="V18" s="16" t="n"/>
      <c r="W18" s="16" t="n"/>
      <c r="X18" s="16" t="n"/>
      <c r="Y18" s="17" t="n"/>
      <c r="Z18" s="17" t="n"/>
      <c r="AA18" s="17" t="n"/>
      <c r="AB18" s="17" t="n"/>
      <c r="AC18">
        <f>IF(B18="","","  { "&amp;E18&amp;", "&amp;IF(C18="Portrait","Portrait","Landscape")&amp;", "&amp;"{ "&amp;" { "&amp;M18&amp;", "&amp;N18&amp;", "&amp;O18&amp;", "&amp;P18&amp;" }"&amp;", "&amp;" { "&amp;Q18&amp;", "&amp;R18&amp;", "&amp;S18&amp;", "&amp;T18&amp;" }"&amp;", "&amp;" { "&amp;U18&amp;", "&amp;V18&amp;", "&amp;W18&amp;", "&amp;X18&amp;" }"&amp;", "&amp;" { "&amp;Y18&amp;", "&amp;Z18&amp;", "&amp;AA18&amp;", "&amp;AB18&amp;" }"&amp;" }"&amp;" } },")</f>
        <v/>
      </c>
    </row>
    <row r="19">
      <c r="A19" s="12">
        <f>IF(B19="","",ROW()-3)</f>
        <v/>
      </c>
      <c r="B19" s="13" t="n"/>
      <c r="C19" s="14" t="inlineStr">
        <is>
          <t>Portrait</t>
        </is>
      </c>
      <c r="D19" s="12">
        <f>IF(C19="Portrait","Landscape","Portrait")</f>
        <v/>
      </c>
      <c r="E19" s="12">
        <f>IF(B19="","",A19)</f>
        <v/>
      </c>
      <c r="F19" s="12">
        <f>E19+0</f>
        <v/>
      </c>
      <c r="G19" s="12">
        <f>IF(C19="Portrait","WIZ1","WIZ2")</f>
        <v/>
      </c>
      <c r="H19" s="12">
        <f>IF(C19="Portrait","WIZ2","WIZ1")</f>
        <v/>
      </c>
      <c r="I19" s="12">
        <f>IF(C19="Portrait","1080x1920","1920x1080")</f>
        <v/>
      </c>
      <c r="J19" s="12">
        <f>IF(C19="Portrait","1920x1080","1080x1920")</f>
        <v/>
      </c>
      <c r="K19" s="12">
        <f>IF(B19="","",TEXT(32+E19,"000")&amp;".mp4")</f>
        <v/>
      </c>
      <c r="L19" s="12">
        <f>IF(B19="","",TEXT(F19,"000")&amp;".mp4")</f>
        <v/>
      </c>
      <c r="M19" s="15" t="n"/>
      <c r="N19" s="15" t="n"/>
      <c r="O19" s="15" t="n"/>
      <c r="P19" s="15" t="n"/>
      <c r="Q19" s="14" t="n"/>
      <c r="R19" s="14" t="n"/>
      <c r="S19" s="14" t="n"/>
      <c r="T19" s="14" t="n"/>
      <c r="U19" s="16" t="n"/>
      <c r="V19" s="16" t="n"/>
      <c r="W19" s="16" t="n"/>
      <c r="X19" s="16" t="n"/>
      <c r="Y19" s="17" t="n"/>
      <c r="Z19" s="17" t="n"/>
      <c r="AA19" s="17" t="n"/>
      <c r="AB19" s="17" t="n"/>
      <c r="AC19">
        <f>IF(B19="","","  { "&amp;E19&amp;", "&amp;IF(C19="Portrait","Portrait","Landscape")&amp;", "&amp;"{ "&amp;" { "&amp;M19&amp;", "&amp;N19&amp;", "&amp;O19&amp;", "&amp;P19&amp;" }"&amp;", "&amp;" { "&amp;Q19&amp;", "&amp;R19&amp;", "&amp;S19&amp;", "&amp;T19&amp;" }"&amp;", "&amp;" { "&amp;U19&amp;", "&amp;V19&amp;", "&amp;W19&amp;", "&amp;X19&amp;" }"&amp;", "&amp;" { "&amp;Y19&amp;", "&amp;Z19&amp;", "&amp;AA19&amp;", "&amp;AB19&amp;" }"&amp;" }"&amp;" } },")</f>
        <v/>
      </c>
    </row>
    <row r="20">
      <c r="A20" s="12">
        <f>IF(B20="","",ROW()-3)</f>
        <v/>
      </c>
      <c r="B20" s="13" t="n"/>
      <c r="C20" s="14" t="inlineStr">
        <is>
          <t>Portrait</t>
        </is>
      </c>
      <c r="D20" s="12">
        <f>IF(C20="Portrait","Landscape","Portrait")</f>
        <v/>
      </c>
      <c r="E20" s="12">
        <f>IF(B20="","",A20)</f>
        <v/>
      </c>
      <c r="F20" s="12">
        <f>E20+0</f>
        <v/>
      </c>
      <c r="G20" s="12">
        <f>IF(C20="Portrait","WIZ1","WIZ2")</f>
        <v/>
      </c>
      <c r="H20" s="12">
        <f>IF(C20="Portrait","WIZ2","WIZ1")</f>
        <v/>
      </c>
      <c r="I20" s="12">
        <f>IF(C20="Portrait","1080x1920","1920x1080")</f>
        <v/>
      </c>
      <c r="J20" s="12">
        <f>IF(C20="Portrait","1920x1080","1080x1920")</f>
        <v/>
      </c>
      <c r="K20" s="12">
        <f>IF(B20="","",TEXT(32+E20,"000")&amp;".mp4")</f>
        <v/>
      </c>
      <c r="L20" s="12">
        <f>IF(B20="","",TEXT(F20,"000")&amp;".mp4")</f>
        <v/>
      </c>
      <c r="M20" s="15" t="n"/>
      <c r="N20" s="15" t="n"/>
      <c r="O20" s="15" t="n"/>
      <c r="P20" s="15" t="n"/>
      <c r="Q20" s="14" t="n"/>
      <c r="R20" s="14" t="n"/>
      <c r="S20" s="14" t="n"/>
      <c r="T20" s="14" t="n"/>
      <c r="U20" s="16" t="n"/>
      <c r="V20" s="16" t="n"/>
      <c r="W20" s="16" t="n"/>
      <c r="X20" s="16" t="n"/>
      <c r="Y20" s="17" t="n"/>
      <c r="Z20" s="17" t="n"/>
      <c r="AA20" s="17" t="n"/>
      <c r="AB20" s="17" t="n"/>
      <c r="AC20">
        <f>IF(B20="","","  { "&amp;E20&amp;", "&amp;IF(C20="Portrait","Portrait","Landscape")&amp;", "&amp;"{ "&amp;" { "&amp;M20&amp;", "&amp;N20&amp;", "&amp;O20&amp;", "&amp;P20&amp;" }"&amp;", "&amp;" { "&amp;Q20&amp;", "&amp;R20&amp;", "&amp;S20&amp;", "&amp;T20&amp;" }"&amp;", "&amp;" { "&amp;U20&amp;", "&amp;V20&amp;", "&amp;W20&amp;", "&amp;X20&amp;" }"&amp;", "&amp;" { "&amp;Y20&amp;", "&amp;Z20&amp;", "&amp;AA20&amp;", "&amp;AB20&amp;" }"&amp;" }"&amp;" } },")</f>
        <v/>
      </c>
    </row>
    <row r="21">
      <c r="A21" s="12">
        <f>IF(B21="","",ROW()-3)</f>
        <v/>
      </c>
      <c r="B21" s="13" t="n"/>
      <c r="C21" s="14" t="inlineStr">
        <is>
          <t>Portrait</t>
        </is>
      </c>
      <c r="D21" s="12">
        <f>IF(C21="Portrait","Landscape","Portrait")</f>
        <v/>
      </c>
      <c r="E21" s="12">
        <f>IF(B21="","",A21)</f>
        <v/>
      </c>
      <c r="F21" s="12">
        <f>E21+0</f>
        <v/>
      </c>
      <c r="G21" s="12">
        <f>IF(C21="Portrait","WIZ1","WIZ2")</f>
        <v/>
      </c>
      <c r="H21" s="12">
        <f>IF(C21="Portrait","WIZ2","WIZ1")</f>
        <v/>
      </c>
      <c r="I21" s="12">
        <f>IF(C21="Portrait","1080x1920","1920x1080")</f>
        <v/>
      </c>
      <c r="J21" s="12">
        <f>IF(C21="Portrait","1920x1080","1080x1920")</f>
        <v/>
      </c>
      <c r="K21" s="12">
        <f>IF(B21="","",TEXT(32+E21,"000")&amp;".mp4")</f>
        <v/>
      </c>
      <c r="L21" s="12">
        <f>IF(B21="","",TEXT(F21,"000")&amp;".mp4")</f>
        <v/>
      </c>
      <c r="M21" s="15" t="n"/>
      <c r="N21" s="15" t="n"/>
      <c r="O21" s="15" t="n"/>
      <c r="P21" s="15" t="n"/>
      <c r="Q21" s="14" t="n"/>
      <c r="R21" s="14" t="n"/>
      <c r="S21" s="14" t="n"/>
      <c r="T21" s="14" t="n"/>
      <c r="U21" s="16" t="n"/>
      <c r="V21" s="16" t="n"/>
      <c r="W21" s="16" t="n"/>
      <c r="X21" s="16" t="n"/>
      <c r="Y21" s="17" t="n"/>
      <c r="Z21" s="17" t="n"/>
      <c r="AA21" s="17" t="n"/>
      <c r="AB21" s="17" t="n"/>
      <c r="AC21">
        <f>IF(B21="","","  { "&amp;E21&amp;", "&amp;IF(C21="Portrait","Portrait","Landscape")&amp;", "&amp;"{ "&amp;" { "&amp;M21&amp;", "&amp;N21&amp;", "&amp;O21&amp;", "&amp;P21&amp;" }"&amp;", "&amp;" { "&amp;Q21&amp;", "&amp;R21&amp;", "&amp;S21&amp;", "&amp;T21&amp;" }"&amp;", "&amp;" { "&amp;U21&amp;", "&amp;V21&amp;", "&amp;W21&amp;", "&amp;X21&amp;" }"&amp;", "&amp;" { "&amp;Y21&amp;", "&amp;Z21&amp;", "&amp;AA21&amp;", "&amp;AB21&amp;" }"&amp;" }"&amp;" } },")</f>
        <v/>
      </c>
    </row>
    <row r="22">
      <c r="A22" s="12">
        <f>IF(B22="","",ROW()-3)</f>
        <v/>
      </c>
      <c r="B22" s="13" t="n"/>
      <c r="C22" s="14" t="inlineStr">
        <is>
          <t>Portrait</t>
        </is>
      </c>
      <c r="D22" s="12">
        <f>IF(C22="Portrait","Landscape","Portrait")</f>
        <v/>
      </c>
      <c r="E22" s="12">
        <f>IF(B22="","",A22)</f>
        <v/>
      </c>
      <c r="F22" s="12">
        <f>E22+0</f>
        <v/>
      </c>
      <c r="G22" s="12">
        <f>IF(C22="Portrait","WIZ1","WIZ2")</f>
        <v/>
      </c>
      <c r="H22" s="12">
        <f>IF(C22="Portrait","WIZ2","WIZ1")</f>
        <v/>
      </c>
      <c r="I22" s="12">
        <f>IF(C22="Portrait","1080x1920","1920x1080")</f>
        <v/>
      </c>
      <c r="J22" s="12">
        <f>IF(C22="Portrait","1920x1080","1080x1920")</f>
        <v/>
      </c>
      <c r="K22" s="12">
        <f>IF(B22="","",TEXT(32+E22,"000")&amp;".mp4")</f>
        <v/>
      </c>
      <c r="L22" s="12">
        <f>IF(B22="","",TEXT(F22,"000")&amp;".mp4")</f>
        <v/>
      </c>
      <c r="M22" s="15" t="n"/>
      <c r="N22" s="15" t="n"/>
      <c r="O22" s="15" t="n"/>
      <c r="P22" s="15" t="n"/>
      <c r="Q22" s="14" t="n"/>
      <c r="R22" s="14" t="n"/>
      <c r="S22" s="14" t="n"/>
      <c r="T22" s="14" t="n"/>
      <c r="U22" s="16" t="n"/>
      <c r="V22" s="16" t="n"/>
      <c r="W22" s="16" t="n"/>
      <c r="X22" s="16" t="n"/>
      <c r="Y22" s="17" t="n"/>
      <c r="Z22" s="17" t="n"/>
      <c r="AA22" s="17" t="n"/>
      <c r="AB22" s="17" t="n"/>
      <c r="AC22">
        <f>IF(B22="","","  { "&amp;E22&amp;", "&amp;IF(C22="Portrait","Portrait","Landscape")&amp;", "&amp;"{ "&amp;" { "&amp;M22&amp;", "&amp;N22&amp;", "&amp;O22&amp;", "&amp;P22&amp;" }"&amp;", "&amp;" { "&amp;Q22&amp;", "&amp;R22&amp;", "&amp;S22&amp;", "&amp;T22&amp;" }"&amp;", "&amp;" { "&amp;U22&amp;", "&amp;V22&amp;", "&amp;W22&amp;", "&amp;X22&amp;" }"&amp;", "&amp;" { "&amp;Y22&amp;", "&amp;Z22&amp;", "&amp;AA22&amp;", "&amp;AB22&amp;" }"&amp;" }"&amp;" } },")</f>
        <v/>
      </c>
    </row>
    <row r="23">
      <c r="A23" s="12">
        <f>IF(B23="","",ROW()-3)</f>
        <v/>
      </c>
      <c r="B23" s="13" t="n"/>
      <c r="C23" s="14" t="inlineStr">
        <is>
          <t>Portrait</t>
        </is>
      </c>
      <c r="D23" s="12">
        <f>IF(C23="Portrait","Landscape","Portrait")</f>
        <v/>
      </c>
      <c r="E23" s="12">
        <f>IF(B23="","",A23)</f>
        <v/>
      </c>
      <c r="F23" s="12">
        <f>E23+0</f>
        <v/>
      </c>
      <c r="G23" s="12">
        <f>IF(C23="Portrait","WIZ1","WIZ2")</f>
        <v/>
      </c>
      <c r="H23" s="12">
        <f>IF(C23="Portrait","WIZ2","WIZ1")</f>
        <v/>
      </c>
      <c r="I23" s="12">
        <f>IF(C23="Portrait","1080x1920","1920x1080")</f>
        <v/>
      </c>
      <c r="J23" s="12">
        <f>IF(C23="Portrait","1920x1080","1080x1920")</f>
        <v/>
      </c>
      <c r="K23" s="12">
        <f>IF(B23="","",TEXT(32+E23,"000")&amp;".mp4")</f>
        <v/>
      </c>
      <c r="L23" s="12">
        <f>IF(B23="","",TEXT(F23,"000")&amp;".mp4")</f>
        <v/>
      </c>
      <c r="M23" s="15" t="n"/>
      <c r="N23" s="15" t="n"/>
      <c r="O23" s="15" t="n"/>
      <c r="P23" s="15" t="n"/>
      <c r="Q23" s="14" t="n"/>
      <c r="R23" s="14" t="n"/>
      <c r="S23" s="14" t="n"/>
      <c r="T23" s="14" t="n"/>
      <c r="U23" s="16" t="n"/>
      <c r="V23" s="16" t="n"/>
      <c r="W23" s="16" t="n"/>
      <c r="X23" s="16" t="n"/>
      <c r="Y23" s="17" t="n"/>
      <c r="Z23" s="17" t="n"/>
      <c r="AA23" s="17" t="n"/>
      <c r="AB23" s="17" t="n"/>
      <c r="AC23">
        <f>IF(B23="","","  { "&amp;E23&amp;", "&amp;IF(C23="Portrait","Portrait","Landscape")&amp;", "&amp;"{ "&amp;" { "&amp;M23&amp;", "&amp;N23&amp;", "&amp;O23&amp;", "&amp;P23&amp;" }"&amp;", "&amp;" { "&amp;Q23&amp;", "&amp;R23&amp;", "&amp;S23&amp;", "&amp;T23&amp;" }"&amp;", "&amp;" { "&amp;U23&amp;", "&amp;V23&amp;", "&amp;W23&amp;", "&amp;X23&amp;" }"&amp;", "&amp;" { "&amp;Y23&amp;", "&amp;Z23&amp;", "&amp;AA23&amp;", "&amp;AB23&amp;" }"&amp;" }"&amp;" } },")</f>
        <v/>
      </c>
    </row>
    <row r="24">
      <c r="A24" s="12">
        <f>IF(B24="","",ROW()-3)</f>
        <v/>
      </c>
      <c r="B24" s="13" t="n"/>
      <c r="C24" s="14" t="inlineStr">
        <is>
          <t>Portrait</t>
        </is>
      </c>
      <c r="D24" s="12">
        <f>IF(C24="Portrait","Landscape","Portrait")</f>
        <v/>
      </c>
      <c r="E24" s="12">
        <f>IF(B24="","",A24)</f>
        <v/>
      </c>
      <c r="F24" s="12">
        <f>E24+0</f>
        <v/>
      </c>
      <c r="G24" s="12">
        <f>IF(C24="Portrait","WIZ1","WIZ2")</f>
        <v/>
      </c>
      <c r="H24" s="12">
        <f>IF(C24="Portrait","WIZ2","WIZ1")</f>
        <v/>
      </c>
      <c r="I24" s="12">
        <f>IF(C24="Portrait","1080x1920","1920x1080")</f>
        <v/>
      </c>
      <c r="J24" s="12">
        <f>IF(C24="Portrait","1920x1080","1080x1920")</f>
        <v/>
      </c>
      <c r="K24" s="12">
        <f>IF(B24="","",TEXT(32+E24,"000")&amp;".mp4")</f>
        <v/>
      </c>
      <c r="L24" s="12">
        <f>IF(B24="","",TEXT(F24,"000")&amp;".mp4")</f>
        <v/>
      </c>
      <c r="M24" s="15" t="n"/>
      <c r="N24" s="15" t="n"/>
      <c r="O24" s="15" t="n"/>
      <c r="P24" s="15" t="n"/>
      <c r="Q24" s="14" t="n"/>
      <c r="R24" s="14" t="n"/>
      <c r="S24" s="14" t="n"/>
      <c r="T24" s="14" t="n"/>
      <c r="U24" s="16" t="n"/>
      <c r="V24" s="16" t="n"/>
      <c r="W24" s="16" t="n"/>
      <c r="X24" s="16" t="n"/>
      <c r="Y24" s="17" t="n"/>
      <c r="Z24" s="17" t="n"/>
      <c r="AA24" s="17" t="n"/>
      <c r="AB24" s="17" t="n"/>
      <c r="AC24">
        <f>IF(B24="","","  { "&amp;E24&amp;", "&amp;IF(C24="Portrait","Portrait","Landscape")&amp;", "&amp;"{ "&amp;" { "&amp;M24&amp;", "&amp;N24&amp;", "&amp;O24&amp;", "&amp;P24&amp;" }"&amp;", "&amp;" { "&amp;Q24&amp;", "&amp;R24&amp;", "&amp;S24&amp;", "&amp;T24&amp;" }"&amp;", "&amp;" { "&amp;U24&amp;", "&amp;V24&amp;", "&amp;W24&amp;", "&amp;X24&amp;" }"&amp;", "&amp;" { "&amp;Y24&amp;", "&amp;Z24&amp;", "&amp;AA24&amp;", "&amp;AB24&amp;" }"&amp;" }"&amp;" } },")</f>
        <v/>
      </c>
    </row>
    <row r="25">
      <c r="A25" s="12">
        <f>IF(B25="","",ROW()-3)</f>
        <v/>
      </c>
      <c r="B25" s="13" t="n"/>
      <c r="C25" s="14" t="inlineStr">
        <is>
          <t>Portrait</t>
        </is>
      </c>
      <c r="D25" s="12">
        <f>IF(C25="Portrait","Landscape","Portrait")</f>
        <v/>
      </c>
      <c r="E25" s="12">
        <f>IF(B25="","",A25)</f>
        <v/>
      </c>
      <c r="F25" s="12">
        <f>E25+0</f>
        <v/>
      </c>
      <c r="G25" s="12">
        <f>IF(C25="Portrait","WIZ1","WIZ2")</f>
        <v/>
      </c>
      <c r="H25" s="12">
        <f>IF(C25="Portrait","WIZ2","WIZ1")</f>
        <v/>
      </c>
      <c r="I25" s="12">
        <f>IF(C25="Portrait","1080x1920","1920x1080")</f>
        <v/>
      </c>
      <c r="J25" s="12">
        <f>IF(C25="Portrait","1920x1080","1080x1920")</f>
        <v/>
      </c>
      <c r="K25" s="12">
        <f>IF(B25="","",TEXT(32+E25,"000")&amp;".mp4")</f>
        <v/>
      </c>
      <c r="L25" s="12">
        <f>IF(B25="","",TEXT(F25,"000")&amp;".mp4")</f>
        <v/>
      </c>
      <c r="M25" s="15" t="n"/>
      <c r="N25" s="15" t="n"/>
      <c r="O25" s="15" t="n"/>
      <c r="P25" s="15" t="n"/>
      <c r="Q25" s="14" t="n"/>
      <c r="R25" s="14" t="n"/>
      <c r="S25" s="14" t="n"/>
      <c r="T25" s="14" t="n"/>
      <c r="U25" s="16" t="n"/>
      <c r="V25" s="16" t="n"/>
      <c r="W25" s="16" t="n"/>
      <c r="X25" s="16" t="n"/>
      <c r="Y25" s="17" t="n"/>
      <c r="Z25" s="17" t="n"/>
      <c r="AA25" s="17" t="n"/>
      <c r="AB25" s="17" t="n"/>
      <c r="AC25">
        <f>IF(B25="","","  { "&amp;E25&amp;", "&amp;IF(C25="Portrait","Portrait","Landscape")&amp;", "&amp;"{ "&amp;" { "&amp;M25&amp;", "&amp;N25&amp;", "&amp;O25&amp;", "&amp;P25&amp;" }"&amp;", "&amp;" { "&amp;Q25&amp;", "&amp;R25&amp;", "&amp;S25&amp;", "&amp;T25&amp;" }"&amp;", "&amp;" { "&amp;U25&amp;", "&amp;V25&amp;", "&amp;W25&amp;", "&amp;X25&amp;" }"&amp;", "&amp;" { "&amp;Y25&amp;", "&amp;Z25&amp;", "&amp;AA25&amp;", "&amp;AB25&amp;" }"&amp;" }"&amp;" } },")</f>
        <v/>
      </c>
    </row>
    <row r="26">
      <c r="A26" s="12">
        <f>IF(B26="","",ROW()-3)</f>
        <v/>
      </c>
      <c r="B26" s="13" t="n"/>
      <c r="C26" s="14" t="inlineStr">
        <is>
          <t>Portrait</t>
        </is>
      </c>
      <c r="D26" s="12">
        <f>IF(C26="Portrait","Landscape","Portrait")</f>
        <v/>
      </c>
      <c r="E26" s="12">
        <f>IF(B26="","",A26)</f>
        <v/>
      </c>
      <c r="F26" s="12">
        <f>E26+0</f>
        <v/>
      </c>
      <c r="G26" s="12">
        <f>IF(C26="Portrait","WIZ1","WIZ2")</f>
        <v/>
      </c>
      <c r="H26" s="12">
        <f>IF(C26="Portrait","WIZ2","WIZ1")</f>
        <v/>
      </c>
      <c r="I26" s="12">
        <f>IF(C26="Portrait","1080x1920","1920x1080")</f>
        <v/>
      </c>
      <c r="J26" s="12">
        <f>IF(C26="Portrait","1920x1080","1080x1920")</f>
        <v/>
      </c>
      <c r="K26" s="12">
        <f>IF(B26="","",TEXT(32+E26,"000")&amp;".mp4")</f>
        <v/>
      </c>
      <c r="L26" s="12">
        <f>IF(B26="","",TEXT(F26,"000")&amp;".mp4")</f>
        <v/>
      </c>
      <c r="M26" s="15" t="n"/>
      <c r="N26" s="15" t="n"/>
      <c r="O26" s="15" t="n"/>
      <c r="P26" s="15" t="n"/>
      <c r="Q26" s="14" t="n"/>
      <c r="R26" s="14" t="n"/>
      <c r="S26" s="14" t="n"/>
      <c r="T26" s="14" t="n"/>
      <c r="U26" s="16" t="n"/>
      <c r="V26" s="16" t="n"/>
      <c r="W26" s="16" t="n"/>
      <c r="X26" s="16" t="n"/>
      <c r="Y26" s="17" t="n"/>
      <c r="Z26" s="17" t="n"/>
      <c r="AA26" s="17" t="n"/>
      <c r="AB26" s="17" t="n"/>
      <c r="AC26">
        <f>IF(B26="","","  { "&amp;E26&amp;", "&amp;IF(C26="Portrait","Portrait","Landscape")&amp;", "&amp;"{ "&amp;" { "&amp;M26&amp;", "&amp;N26&amp;", "&amp;O26&amp;", "&amp;P26&amp;" }"&amp;", "&amp;" { "&amp;Q26&amp;", "&amp;R26&amp;", "&amp;S26&amp;", "&amp;T26&amp;" }"&amp;", "&amp;" { "&amp;U26&amp;", "&amp;V26&amp;", "&amp;W26&amp;", "&amp;X26&amp;" }"&amp;", "&amp;" { "&amp;Y26&amp;", "&amp;Z26&amp;", "&amp;AA26&amp;", "&amp;AB26&amp;" }"&amp;" }"&amp;" } },")</f>
        <v/>
      </c>
    </row>
    <row r="27">
      <c r="A27" s="12">
        <f>IF(B27="","",ROW()-3)</f>
        <v/>
      </c>
      <c r="B27" s="13" t="n"/>
      <c r="C27" s="14" t="inlineStr">
        <is>
          <t>Portrait</t>
        </is>
      </c>
      <c r="D27" s="12">
        <f>IF(C27="Portrait","Landscape","Portrait")</f>
        <v/>
      </c>
      <c r="E27" s="12">
        <f>IF(B27="","",A27)</f>
        <v/>
      </c>
      <c r="F27" s="12">
        <f>E27+0</f>
        <v/>
      </c>
      <c r="G27" s="12">
        <f>IF(C27="Portrait","WIZ1","WIZ2")</f>
        <v/>
      </c>
      <c r="H27" s="12">
        <f>IF(C27="Portrait","WIZ2","WIZ1")</f>
        <v/>
      </c>
      <c r="I27" s="12">
        <f>IF(C27="Portrait","1080x1920","1920x1080")</f>
        <v/>
      </c>
      <c r="J27" s="12">
        <f>IF(C27="Portrait","1920x1080","1080x1920")</f>
        <v/>
      </c>
      <c r="K27" s="12">
        <f>IF(B27="","",TEXT(32+E27,"000")&amp;".mp4")</f>
        <v/>
      </c>
      <c r="L27" s="12">
        <f>IF(B27="","",TEXT(F27,"000")&amp;".mp4")</f>
        <v/>
      </c>
      <c r="M27" s="15" t="n"/>
      <c r="N27" s="15" t="n"/>
      <c r="O27" s="15" t="n"/>
      <c r="P27" s="15" t="n"/>
      <c r="Q27" s="14" t="n"/>
      <c r="R27" s="14" t="n"/>
      <c r="S27" s="14" t="n"/>
      <c r="T27" s="14" t="n"/>
      <c r="U27" s="16" t="n"/>
      <c r="V27" s="16" t="n"/>
      <c r="W27" s="16" t="n"/>
      <c r="X27" s="16" t="n"/>
      <c r="Y27" s="17" t="n"/>
      <c r="Z27" s="17" t="n"/>
      <c r="AA27" s="17" t="n"/>
      <c r="AB27" s="17" t="n"/>
      <c r="AC27">
        <f>IF(B27="","","  { "&amp;E27&amp;", "&amp;IF(C27="Portrait","Portrait","Landscape")&amp;", "&amp;"{ "&amp;" { "&amp;M27&amp;", "&amp;N27&amp;", "&amp;O27&amp;", "&amp;P27&amp;" }"&amp;", "&amp;" { "&amp;Q27&amp;", "&amp;R27&amp;", "&amp;S27&amp;", "&amp;T27&amp;" }"&amp;", "&amp;" { "&amp;U27&amp;", "&amp;V27&amp;", "&amp;W27&amp;", "&amp;X27&amp;" }"&amp;", "&amp;" { "&amp;Y27&amp;", "&amp;Z27&amp;", "&amp;AA27&amp;", "&amp;AB27&amp;" }"&amp;" }"&amp;" } },")</f>
        <v/>
      </c>
    </row>
  </sheetData>
  <sheetProtection selectLockedCells="0" selectUnlockedCells="0" sheet="1" objects="0" insertRows="1" insertHyperlinks="1" autoFilter="1" scenarios="0" formatColumns="1" deleteColumns="1" insertColumns="1" pivotTables="1" deleteRows="1" formatCells="1" formatRows="1" sort="1"/>
  <mergeCells count="2">
    <mergeCell ref="A2:AC2"/>
    <mergeCell ref="A1:AC1"/>
  </mergeCells>
  <dataValidations count="2">
    <dataValidation sqref="C4:C27" showDropDown="0" showInputMessage="0" showErrorMessage="0" allowBlank="0" errorTitle="Invalid value" error="Choose a value from the list." type="list">
      <formula1>"Portrait,Landscape"</formula1>
    </dataValidation>
    <dataValidation sqref="M4:AB27" showDropDown="0" showInputMessage="0" showErrorMessage="0" allowBlank="1" error="Enter an integer from 0 to 10." type="whole" operator="between">
      <formula1>0</formula1>
      <formula2>10</formula2>
    </dataValidation>
  </dataValidations>
  <pageMargins left="0.75" right="0.75" top="1" bottom="1" header="0.5" footer="0.5"/>
</worksheet>
</file>

<file path=xl/worksheets/sheet3.xml><?xml version="1.0" encoding="utf-8"?>
<worksheet xmlns="http://schemas.openxmlformats.org/spreadsheetml/2006/main">
  <sheetPr>
    <tabColor rgb="00548235"/>
    <outlinePr summaryBelow="1" summaryRight="1"/>
    <pageSetUpPr/>
  </sheetPr>
  <dimension ref="A1:I56"/>
  <sheetViews>
    <sheetView workbookViewId="0">
      <pane ySplit="3" topLeftCell="A4" activePane="bottomLeft" state="frozen"/>
      <selection pane="bottomLeft" activeCell="A1" sqref="A1"/>
    </sheetView>
  </sheetViews>
  <sheetFormatPr baseColWidth="8" defaultRowHeight="15"/>
  <cols>
    <col width="22" customWidth="1" min="1" max="1"/>
    <col width="8" customWidth="1" min="2" max="2"/>
    <col width="10" customWidth="1" min="3" max="3"/>
    <col width="44" customWidth="1" min="4" max="4"/>
    <col width="12" customWidth="1" min="5" max="5"/>
    <col width="12" customWidth="1" min="6" max="6"/>
    <col width="12" customWidth="1" min="7" max="7"/>
    <col width="12" customWidth="1" min="8" max="8"/>
    <col width="12" customWidth="1" min="9" max="9"/>
  </cols>
  <sheetData>
    <row r="1">
      <c r="A1" s="1" t="inlineStr">
        <is>
          <t>SD card - WIZ1 portrait display</t>
        </is>
      </c>
    </row>
    <row r="2">
      <c r="A2" s="4" t="inlineStr">
        <is>
          <t>Copy each file to this SD card using the exact name shown. Encode each row at the Aspect shown (portrait 1080x1920 or landscape 1920x1080). Quiz rows are computed from the Questions sheet; clear Artwork there to drop a step.</t>
        </is>
      </c>
    </row>
    <row r="3">
      <c r="A3" s="18" t="inlineStr">
        <is>
          <t>Role</t>
        </is>
      </c>
      <c r="B3" s="18" t="inlineStr">
        <is>
          <t>Quiz ref</t>
        </is>
      </c>
      <c r="C3" s="19" t="inlineStr">
        <is>
          <t>File index</t>
        </is>
      </c>
      <c r="D3" s="18" t="inlineStr">
        <is>
          <t>Content</t>
        </is>
      </c>
      <c r="E3" s="18" t="inlineStr">
        <is>
          <t>Aspect</t>
        </is>
      </c>
      <c r="F3" s="7" t="inlineStr">
        <is>
          <t>EN file</t>
        </is>
      </c>
      <c r="G3" s="7" t="inlineStr">
        <is>
          <t>FR file</t>
        </is>
      </c>
      <c r="H3" s="7" t="inlineStr">
        <is>
          <t>DE file</t>
        </is>
      </c>
      <c r="I3" s="7" t="inlineStr">
        <is>
          <t>IT file</t>
        </is>
      </c>
    </row>
    <row r="4">
      <c r="A4" s="12" t="inlineStr">
        <is>
          <t>Idle intro text</t>
        </is>
      </c>
      <c r="B4" s="12" t="inlineStr">
        <is>
          <t>-</t>
        </is>
      </c>
      <c r="C4" s="14" t="n">
        <v>0</v>
      </c>
      <c r="D4" s="20" t="inlineStr">
        <is>
          <t>Title + intro (all languages)</t>
        </is>
      </c>
      <c r="E4" s="12" t="inlineStr">
        <is>
          <t>1080x1920</t>
        </is>
      </c>
      <c r="F4" s="12">
        <f>IF(C4="","",TEXT(32*0+C4,"000")&amp;".mp4")</f>
        <v/>
      </c>
      <c r="G4" s="12">
        <f>IF(C4="","",TEXT(32*1+C4,"000")&amp;".mp4")</f>
        <v/>
      </c>
      <c r="H4" s="12">
        <f>IF(C4="","",TEXT(32*2+C4,"000")&amp;".mp4")</f>
        <v/>
      </c>
      <c r="I4" s="12">
        <f>IF(C4="","",TEXT(32*3+C4,"000")&amp;".mp4")</f>
        <v/>
      </c>
    </row>
    <row r="5">
      <c r="A5" s="12" t="inlineStr">
        <is>
          <t>Profile Emotions</t>
        </is>
      </c>
      <c r="B5" s="12" t="inlineStr">
        <is>
          <t>-</t>
        </is>
      </c>
      <c r="C5" s="14" t="n">
        <v>17</v>
      </c>
      <c r="D5" s="20" t="inlineStr">
        <is>
          <t>Result text - poetic / emotions</t>
        </is>
      </c>
      <c r="E5" s="12" t="inlineStr">
        <is>
          <t>1080x1920</t>
        </is>
      </c>
      <c r="F5" s="12">
        <f>IF(C5="","",TEXT(32*0+C5,"000")&amp;".mp4")</f>
        <v/>
      </c>
      <c r="G5" s="12">
        <f>IF(C5="","",TEXT(32*1+C5,"000")&amp;".mp4")</f>
        <v/>
      </c>
      <c r="H5" s="12">
        <f>IF(C5="","",TEXT(32*2+C5,"000")&amp;".mp4")</f>
        <v/>
      </c>
      <c r="I5" s="12">
        <f>IF(C5="","",TEXT(32*3+C5,"000")&amp;".mp4")</f>
        <v/>
      </c>
    </row>
    <row r="6">
      <c r="A6" s="12" t="inlineStr">
        <is>
          <t>Profile Realiste</t>
        </is>
      </c>
      <c r="B6" s="12" t="inlineStr">
        <is>
          <t>-</t>
        </is>
      </c>
      <c r="C6" s="14" t="n">
        <v>18</v>
      </c>
      <c r="D6" s="20" t="inlineStr">
        <is>
          <t>Result text - precision</t>
        </is>
      </c>
      <c r="E6" s="12" t="inlineStr">
        <is>
          <t>1080x1920</t>
        </is>
      </c>
      <c r="F6" s="12">
        <f>IF(C6="","",TEXT(32*0+C6,"000")&amp;".mp4")</f>
        <v/>
      </c>
      <c r="G6" s="12">
        <f>IF(C6="","",TEXT(32*1+C6,"000")&amp;".mp4")</f>
        <v/>
      </c>
      <c r="H6" s="12">
        <f>IF(C6="","",TEXT(32*2+C6,"000")&amp;".mp4")</f>
        <v/>
      </c>
      <c r="I6" s="12">
        <f>IF(C6="","",TEXT(32*3+C6,"000")&amp;".mp4")</f>
        <v/>
      </c>
    </row>
    <row r="7">
      <c r="A7" s="12" t="inlineStr">
        <is>
          <t>Profile Matiere</t>
        </is>
      </c>
      <c r="B7" s="12" t="inlineStr">
        <is>
          <t>-</t>
        </is>
      </c>
      <c r="C7" s="14" t="n">
        <v>19</v>
      </c>
      <c r="D7" s="20" t="inlineStr">
        <is>
          <t>Result text - matter</t>
        </is>
      </c>
      <c r="E7" s="12" t="inlineStr">
        <is>
          <t>1080x1920</t>
        </is>
      </c>
      <c r="F7" s="12">
        <f>IF(C7="","",TEXT(32*0+C7,"000")&amp;".mp4")</f>
        <v/>
      </c>
      <c r="G7" s="12">
        <f>IF(C7="","",TEXT(32*1+C7,"000")&amp;".mp4")</f>
        <v/>
      </c>
      <c r="H7" s="12">
        <f>IF(C7="","",TEXT(32*2+C7,"000")&amp;".mp4")</f>
        <v/>
      </c>
      <c r="I7" s="12">
        <f>IF(C7="","",TEXT(32*3+C7,"000")&amp;".mp4")</f>
        <v/>
      </c>
    </row>
    <row r="8">
      <c r="A8" s="12" t="inlineStr">
        <is>
          <t>Profile Conteur</t>
        </is>
      </c>
      <c r="B8" s="12" t="inlineStr">
        <is>
          <t>-</t>
        </is>
      </c>
      <c r="C8" s="14" t="n">
        <v>20</v>
      </c>
      <c r="D8" s="20" t="inlineStr">
        <is>
          <t>Result text - storyteller</t>
        </is>
      </c>
      <c r="E8" s="12" t="inlineStr">
        <is>
          <t>1080x1920</t>
        </is>
      </c>
      <c r="F8" s="12">
        <f>IF(C8="","",TEXT(32*0+C8,"000")&amp;".mp4")</f>
        <v/>
      </c>
      <c r="G8" s="12">
        <f>IF(C8="","",TEXT(32*1+C8,"000")&amp;".mp4")</f>
        <v/>
      </c>
      <c r="H8" s="12">
        <f>IF(C8="","",TEXT(32*2+C8,"000")&amp;".mp4")</f>
        <v/>
      </c>
      <c r="I8" s="12">
        <f>IF(C8="","",TEXT(32*3+C8,"000")&amp;".mp4")</f>
        <v/>
      </c>
    </row>
    <row r="9">
      <c r="A9" s="12">
        <f>IF(AND('Questions'!$B$4&lt;&gt;"",'Questions'!$G$4="WIZ1"),"Question text Q"&amp;'Questions'!$A$4,"")</f>
        <v/>
      </c>
      <c r="B9" s="12">
        <f>IF(AND('Questions'!$B$4&lt;&gt;"",'Questions'!$G$4="WIZ1"),"Q"&amp;'Questions'!$A$4,"")</f>
        <v/>
      </c>
      <c r="C9" s="12">
        <f>IF(AND('Questions'!$B$4&lt;&gt;"",'Questions'!$G$4="WIZ1"),'Questions'!$E$4,"")</f>
        <v/>
      </c>
      <c r="D9" s="20">
        <f>IF(AND('Questions'!$B$4&lt;&gt;"",'Questions'!$G$4="WIZ1"),'Questions'!$B$4&amp;" (question on "&amp;IF('Questions'!$C$4="Portrait","portrait","landscape")&amp;" screen)","")</f>
        <v/>
      </c>
      <c r="E9" s="12">
        <f>IF(AND('Questions'!$B$4&lt;&gt;"",'Questions'!$G$4="WIZ1"),'Questions'!$I$4,"")</f>
        <v/>
      </c>
      <c r="F9" s="12">
        <f>IF(AND('Questions'!$B$4&lt;&gt;"",'Questions'!$G$4="WIZ1"),TEXT(32*0+'Questions'!$E$4,"000")&amp;".mp4","")</f>
        <v/>
      </c>
      <c r="G9" s="12">
        <f>IF(AND('Questions'!$B$4&lt;&gt;"",'Questions'!$G$4="WIZ1"),TEXT(32*1+'Questions'!$E$4,"000")&amp;".mp4","")</f>
        <v/>
      </c>
      <c r="H9" s="12">
        <f>IF(AND('Questions'!$B$4&lt;&gt;"",'Questions'!$G$4="WIZ1"),TEXT(32*2+'Questions'!$E$4,"000")&amp;".mp4","")</f>
        <v/>
      </c>
      <c r="I9" s="12">
        <f>IF(AND('Questions'!$B$4&lt;&gt;"",'Questions'!$G$4="WIZ1"),TEXT(32*3+'Questions'!$E$4,"000")&amp;".mp4","")</f>
        <v/>
      </c>
    </row>
    <row r="10">
      <c r="A10" s="12">
        <f>IF(AND('Questions'!$B$4&lt;&gt;"",'Questions'!$H$4="WIZ1"),"Artwork Q"&amp;'Questions'!$A$4,"")</f>
        <v/>
      </c>
      <c r="B10" s="12">
        <f>IF(AND('Questions'!$B$4&lt;&gt;"",'Questions'!$H$4="WIZ1"),"Q"&amp;'Questions'!$A$4,"")</f>
        <v/>
      </c>
      <c r="C10" s="12">
        <f>IF(AND('Questions'!$B$4&lt;&gt;"",'Questions'!$H$4="WIZ1"),'Questions'!$F$4,"")</f>
        <v/>
      </c>
      <c r="D10" s="20">
        <f>IF(AND('Questions'!$B$4&lt;&gt;"",'Questions'!$H$4="WIZ1"),'Questions'!$B$4&amp;" (art on portrait screen)","")</f>
        <v/>
      </c>
      <c r="E10" s="12">
        <f>IF(AND('Questions'!$B$4&lt;&gt;"",'Questions'!$H$4="WIZ1"),'Questions'!$J$4,"")</f>
        <v/>
      </c>
      <c r="F10" s="12">
        <f>IF(AND('Questions'!$B$4&lt;&gt;"",'Questions'!$H$4="WIZ1"),TEXT('Questions'!$F$4,"000")&amp;".mp4","")</f>
        <v/>
      </c>
    </row>
    <row r="11">
      <c r="A11" s="12">
        <f>IF(AND('Questions'!$B$5&lt;&gt;"",'Questions'!$G$5="WIZ1"),"Question text Q"&amp;'Questions'!$A$5,"")</f>
        <v/>
      </c>
      <c r="B11" s="12">
        <f>IF(AND('Questions'!$B$5&lt;&gt;"",'Questions'!$G$5="WIZ1"),"Q"&amp;'Questions'!$A$5,"")</f>
        <v/>
      </c>
      <c r="C11" s="12">
        <f>IF(AND('Questions'!$B$5&lt;&gt;"",'Questions'!$G$5="WIZ1"),'Questions'!$E$5,"")</f>
        <v/>
      </c>
      <c r="D11" s="20">
        <f>IF(AND('Questions'!$B$5&lt;&gt;"",'Questions'!$G$5="WIZ1"),'Questions'!$B$5&amp;" (question on "&amp;IF('Questions'!$C$5="Portrait","portrait","landscape")&amp;" screen)","")</f>
        <v/>
      </c>
      <c r="E11" s="12">
        <f>IF(AND('Questions'!$B$5&lt;&gt;"",'Questions'!$G$5="WIZ1"),'Questions'!$I$5,"")</f>
        <v/>
      </c>
      <c r="F11" s="12">
        <f>IF(AND('Questions'!$B$5&lt;&gt;"",'Questions'!$G$5="WIZ1"),TEXT(32*0+'Questions'!$E$5,"000")&amp;".mp4","")</f>
        <v/>
      </c>
      <c r="G11" s="12">
        <f>IF(AND('Questions'!$B$5&lt;&gt;"",'Questions'!$G$5="WIZ1"),TEXT(32*1+'Questions'!$E$5,"000")&amp;".mp4","")</f>
        <v/>
      </c>
      <c r="H11" s="12">
        <f>IF(AND('Questions'!$B$5&lt;&gt;"",'Questions'!$G$5="WIZ1"),TEXT(32*2+'Questions'!$E$5,"000")&amp;".mp4","")</f>
        <v/>
      </c>
      <c r="I11" s="12">
        <f>IF(AND('Questions'!$B$5&lt;&gt;"",'Questions'!$G$5="WIZ1"),TEXT(32*3+'Questions'!$E$5,"000")&amp;".mp4","")</f>
        <v/>
      </c>
    </row>
    <row r="12">
      <c r="A12" s="12">
        <f>IF(AND('Questions'!$B$5&lt;&gt;"",'Questions'!$H$5="WIZ1"),"Artwork Q"&amp;'Questions'!$A$5,"")</f>
        <v/>
      </c>
      <c r="B12" s="12">
        <f>IF(AND('Questions'!$B$5&lt;&gt;"",'Questions'!$H$5="WIZ1"),"Q"&amp;'Questions'!$A$5,"")</f>
        <v/>
      </c>
      <c r="C12" s="12">
        <f>IF(AND('Questions'!$B$5&lt;&gt;"",'Questions'!$H$5="WIZ1"),'Questions'!$F$5,"")</f>
        <v/>
      </c>
      <c r="D12" s="20">
        <f>IF(AND('Questions'!$B$5&lt;&gt;"",'Questions'!$H$5="WIZ1"),'Questions'!$B$5&amp;" (art on portrait screen)","")</f>
        <v/>
      </c>
      <c r="E12" s="12">
        <f>IF(AND('Questions'!$B$5&lt;&gt;"",'Questions'!$H$5="WIZ1"),'Questions'!$J$5,"")</f>
        <v/>
      </c>
      <c r="F12" s="12">
        <f>IF(AND('Questions'!$B$5&lt;&gt;"",'Questions'!$H$5="WIZ1"),TEXT('Questions'!$F$5,"000")&amp;".mp4","")</f>
        <v/>
      </c>
    </row>
    <row r="13">
      <c r="A13" s="12">
        <f>IF(AND('Questions'!$B$6&lt;&gt;"",'Questions'!$G$6="WIZ1"),"Question text Q"&amp;'Questions'!$A$6,"")</f>
        <v/>
      </c>
      <c r="B13" s="12">
        <f>IF(AND('Questions'!$B$6&lt;&gt;"",'Questions'!$G$6="WIZ1"),"Q"&amp;'Questions'!$A$6,"")</f>
        <v/>
      </c>
      <c r="C13" s="12">
        <f>IF(AND('Questions'!$B$6&lt;&gt;"",'Questions'!$G$6="WIZ1"),'Questions'!$E$6,"")</f>
        <v/>
      </c>
      <c r="D13" s="20">
        <f>IF(AND('Questions'!$B$6&lt;&gt;"",'Questions'!$G$6="WIZ1"),'Questions'!$B$6&amp;" (question on "&amp;IF('Questions'!$C$6="Portrait","portrait","landscape")&amp;" screen)","")</f>
        <v/>
      </c>
      <c r="E13" s="12">
        <f>IF(AND('Questions'!$B$6&lt;&gt;"",'Questions'!$G$6="WIZ1"),'Questions'!$I$6,"")</f>
        <v/>
      </c>
      <c r="F13" s="12">
        <f>IF(AND('Questions'!$B$6&lt;&gt;"",'Questions'!$G$6="WIZ1"),TEXT(32*0+'Questions'!$E$6,"000")&amp;".mp4","")</f>
        <v/>
      </c>
      <c r="G13" s="12">
        <f>IF(AND('Questions'!$B$6&lt;&gt;"",'Questions'!$G$6="WIZ1"),TEXT(32*1+'Questions'!$E$6,"000")&amp;".mp4","")</f>
        <v/>
      </c>
      <c r="H13" s="12">
        <f>IF(AND('Questions'!$B$6&lt;&gt;"",'Questions'!$G$6="WIZ1"),TEXT(32*2+'Questions'!$E$6,"000")&amp;".mp4","")</f>
        <v/>
      </c>
      <c r="I13" s="12">
        <f>IF(AND('Questions'!$B$6&lt;&gt;"",'Questions'!$G$6="WIZ1"),TEXT(32*3+'Questions'!$E$6,"000")&amp;".mp4","")</f>
        <v/>
      </c>
    </row>
    <row r="14">
      <c r="A14" s="12">
        <f>IF(AND('Questions'!$B$6&lt;&gt;"",'Questions'!$H$6="WIZ1"),"Artwork Q"&amp;'Questions'!$A$6,"")</f>
        <v/>
      </c>
      <c r="B14" s="12">
        <f>IF(AND('Questions'!$B$6&lt;&gt;"",'Questions'!$H$6="WIZ1"),"Q"&amp;'Questions'!$A$6,"")</f>
        <v/>
      </c>
      <c r="C14" s="12">
        <f>IF(AND('Questions'!$B$6&lt;&gt;"",'Questions'!$H$6="WIZ1"),'Questions'!$F$6,"")</f>
        <v/>
      </c>
      <c r="D14" s="20">
        <f>IF(AND('Questions'!$B$6&lt;&gt;"",'Questions'!$H$6="WIZ1"),'Questions'!$B$6&amp;" (art on portrait screen)","")</f>
        <v/>
      </c>
      <c r="E14" s="12">
        <f>IF(AND('Questions'!$B$6&lt;&gt;"",'Questions'!$H$6="WIZ1"),'Questions'!$J$6,"")</f>
        <v/>
      </c>
      <c r="F14" s="12">
        <f>IF(AND('Questions'!$B$6&lt;&gt;"",'Questions'!$H$6="WIZ1"),TEXT('Questions'!$F$6,"000")&amp;".mp4","")</f>
        <v/>
      </c>
    </row>
    <row r="15">
      <c r="A15" s="12">
        <f>IF(AND('Questions'!$B$7&lt;&gt;"",'Questions'!$G$7="WIZ1"),"Question text Q"&amp;'Questions'!$A$7,"")</f>
        <v/>
      </c>
      <c r="B15" s="12">
        <f>IF(AND('Questions'!$B$7&lt;&gt;"",'Questions'!$G$7="WIZ1"),"Q"&amp;'Questions'!$A$7,"")</f>
        <v/>
      </c>
      <c r="C15" s="12">
        <f>IF(AND('Questions'!$B$7&lt;&gt;"",'Questions'!$G$7="WIZ1"),'Questions'!$E$7,"")</f>
        <v/>
      </c>
      <c r="D15" s="20">
        <f>IF(AND('Questions'!$B$7&lt;&gt;"",'Questions'!$G$7="WIZ1"),'Questions'!$B$7&amp;" (question on "&amp;IF('Questions'!$C$7="Portrait","portrait","landscape")&amp;" screen)","")</f>
        <v/>
      </c>
      <c r="E15" s="12">
        <f>IF(AND('Questions'!$B$7&lt;&gt;"",'Questions'!$G$7="WIZ1"),'Questions'!$I$7,"")</f>
        <v/>
      </c>
      <c r="F15" s="12">
        <f>IF(AND('Questions'!$B$7&lt;&gt;"",'Questions'!$G$7="WIZ1"),TEXT(32*0+'Questions'!$E$7,"000")&amp;".mp4","")</f>
        <v/>
      </c>
      <c r="G15" s="12">
        <f>IF(AND('Questions'!$B$7&lt;&gt;"",'Questions'!$G$7="WIZ1"),TEXT(32*1+'Questions'!$E$7,"000")&amp;".mp4","")</f>
        <v/>
      </c>
      <c r="H15" s="12">
        <f>IF(AND('Questions'!$B$7&lt;&gt;"",'Questions'!$G$7="WIZ1"),TEXT(32*2+'Questions'!$E$7,"000")&amp;".mp4","")</f>
        <v/>
      </c>
      <c r="I15" s="12">
        <f>IF(AND('Questions'!$B$7&lt;&gt;"",'Questions'!$G$7="WIZ1"),TEXT(32*3+'Questions'!$E$7,"000")&amp;".mp4","")</f>
        <v/>
      </c>
    </row>
    <row r="16">
      <c r="A16" s="12">
        <f>IF(AND('Questions'!$B$7&lt;&gt;"",'Questions'!$H$7="WIZ1"),"Artwork Q"&amp;'Questions'!$A$7,"")</f>
        <v/>
      </c>
      <c r="B16" s="12">
        <f>IF(AND('Questions'!$B$7&lt;&gt;"",'Questions'!$H$7="WIZ1"),"Q"&amp;'Questions'!$A$7,"")</f>
        <v/>
      </c>
      <c r="C16" s="12">
        <f>IF(AND('Questions'!$B$7&lt;&gt;"",'Questions'!$H$7="WIZ1"),'Questions'!$F$7,"")</f>
        <v/>
      </c>
      <c r="D16" s="20">
        <f>IF(AND('Questions'!$B$7&lt;&gt;"",'Questions'!$H$7="WIZ1"),'Questions'!$B$7&amp;" (art on portrait screen)","")</f>
        <v/>
      </c>
      <c r="E16" s="12">
        <f>IF(AND('Questions'!$B$7&lt;&gt;"",'Questions'!$H$7="WIZ1"),'Questions'!$J$7,"")</f>
        <v/>
      </c>
      <c r="F16" s="12">
        <f>IF(AND('Questions'!$B$7&lt;&gt;"",'Questions'!$H$7="WIZ1"),TEXT('Questions'!$F$7,"000")&amp;".mp4","")</f>
        <v/>
      </c>
    </row>
    <row r="17">
      <c r="A17" s="12">
        <f>IF(AND('Questions'!$B$8&lt;&gt;"",'Questions'!$G$8="WIZ1"),"Question text Q"&amp;'Questions'!$A$8,"")</f>
        <v/>
      </c>
      <c r="B17" s="12">
        <f>IF(AND('Questions'!$B$8&lt;&gt;"",'Questions'!$G$8="WIZ1"),"Q"&amp;'Questions'!$A$8,"")</f>
        <v/>
      </c>
      <c r="C17" s="12">
        <f>IF(AND('Questions'!$B$8&lt;&gt;"",'Questions'!$G$8="WIZ1"),'Questions'!$E$8,"")</f>
        <v/>
      </c>
      <c r="D17" s="20">
        <f>IF(AND('Questions'!$B$8&lt;&gt;"",'Questions'!$G$8="WIZ1"),'Questions'!$B$8&amp;" (question on "&amp;IF('Questions'!$C$8="Portrait","portrait","landscape")&amp;" screen)","")</f>
        <v/>
      </c>
      <c r="E17" s="12">
        <f>IF(AND('Questions'!$B$8&lt;&gt;"",'Questions'!$G$8="WIZ1"),'Questions'!$I$8,"")</f>
        <v/>
      </c>
      <c r="F17" s="12">
        <f>IF(AND('Questions'!$B$8&lt;&gt;"",'Questions'!$G$8="WIZ1"),TEXT(32*0+'Questions'!$E$8,"000")&amp;".mp4","")</f>
        <v/>
      </c>
      <c r="G17" s="12">
        <f>IF(AND('Questions'!$B$8&lt;&gt;"",'Questions'!$G$8="WIZ1"),TEXT(32*1+'Questions'!$E$8,"000")&amp;".mp4","")</f>
        <v/>
      </c>
      <c r="H17" s="12">
        <f>IF(AND('Questions'!$B$8&lt;&gt;"",'Questions'!$G$8="WIZ1"),TEXT(32*2+'Questions'!$E$8,"000")&amp;".mp4","")</f>
        <v/>
      </c>
      <c r="I17" s="12">
        <f>IF(AND('Questions'!$B$8&lt;&gt;"",'Questions'!$G$8="WIZ1"),TEXT(32*3+'Questions'!$E$8,"000")&amp;".mp4","")</f>
        <v/>
      </c>
    </row>
    <row r="18">
      <c r="A18" s="12">
        <f>IF(AND('Questions'!$B$8&lt;&gt;"",'Questions'!$H$8="WIZ1"),"Artwork Q"&amp;'Questions'!$A$8,"")</f>
        <v/>
      </c>
      <c r="B18" s="12">
        <f>IF(AND('Questions'!$B$8&lt;&gt;"",'Questions'!$H$8="WIZ1"),"Q"&amp;'Questions'!$A$8,"")</f>
        <v/>
      </c>
      <c r="C18" s="12">
        <f>IF(AND('Questions'!$B$8&lt;&gt;"",'Questions'!$H$8="WIZ1"),'Questions'!$F$8,"")</f>
        <v/>
      </c>
      <c r="D18" s="20">
        <f>IF(AND('Questions'!$B$8&lt;&gt;"",'Questions'!$H$8="WIZ1"),'Questions'!$B$8&amp;" (art on portrait screen)","")</f>
        <v/>
      </c>
      <c r="E18" s="12">
        <f>IF(AND('Questions'!$B$8&lt;&gt;"",'Questions'!$H$8="WIZ1"),'Questions'!$J$8,"")</f>
        <v/>
      </c>
      <c r="F18" s="12">
        <f>IF(AND('Questions'!$B$8&lt;&gt;"",'Questions'!$H$8="WIZ1"),TEXT('Questions'!$F$8,"000")&amp;".mp4","")</f>
        <v/>
      </c>
    </row>
    <row r="19">
      <c r="A19" s="12">
        <f>IF(AND('Questions'!$B$9&lt;&gt;"",'Questions'!$G$9="WIZ1"),"Question text Q"&amp;'Questions'!$A$9,"")</f>
        <v/>
      </c>
      <c r="B19" s="12">
        <f>IF(AND('Questions'!$B$9&lt;&gt;"",'Questions'!$G$9="WIZ1"),"Q"&amp;'Questions'!$A$9,"")</f>
        <v/>
      </c>
      <c r="C19" s="12">
        <f>IF(AND('Questions'!$B$9&lt;&gt;"",'Questions'!$G$9="WIZ1"),'Questions'!$E$9,"")</f>
        <v/>
      </c>
      <c r="D19" s="20">
        <f>IF(AND('Questions'!$B$9&lt;&gt;"",'Questions'!$G$9="WIZ1"),'Questions'!$B$9&amp;" (question on "&amp;IF('Questions'!$C$9="Portrait","portrait","landscape")&amp;" screen)","")</f>
        <v/>
      </c>
      <c r="E19" s="12">
        <f>IF(AND('Questions'!$B$9&lt;&gt;"",'Questions'!$G$9="WIZ1"),'Questions'!$I$9,"")</f>
        <v/>
      </c>
      <c r="F19" s="12">
        <f>IF(AND('Questions'!$B$9&lt;&gt;"",'Questions'!$G$9="WIZ1"),TEXT(32*0+'Questions'!$E$9,"000")&amp;".mp4","")</f>
        <v/>
      </c>
      <c r="G19" s="12">
        <f>IF(AND('Questions'!$B$9&lt;&gt;"",'Questions'!$G$9="WIZ1"),TEXT(32*1+'Questions'!$E$9,"000")&amp;".mp4","")</f>
        <v/>
      </c>
      <c r="H19" s="12">
        <f>IF(AND('Questions'!$B$9&lt;&gt;"",'Questions'!$G$9="WIZ1"),TEXT(32*2+'Questions'!$E$9,"000")&amp;".mp4","")</f>
        <v/>
      </c>
      <c r="I19" s="12">
        <f>IF(AND('Questions'!$B$9&lt;&gt;"",'Questions'!$G$9="WIZ1"),TEXT(32*3+'Questions'!$E$9,"000")&amp;".mp4","")</f>
        <v/>
      </c>
    </row>
    <row r="20">
      <c r="A20" s="12">
        <f>IF(AND('Questions'!$B$9&lt;&gt;"",'Questions'!$H$9="WIZ1"),"Artwork Q"&amp;'Questions'!$A$9,"")</f>
        <v/>
      </c>
      <c r="B20" s="12">
        <f>IF(AND('Questions'!$B$9&lt;&gt;"",'Questions'!$H$9="WIZ1"),"Q"&amp;'Questions'!$A$9,"")</f>
        <v/>
      </c>
      <c r="C20" s="12">
        <f>IF(AND('Questions'!$B$9&lt;&gt;"",'Questions'!$H$9="WIZ1"),'Questions'!$F$9,"")</f>
        <v/>
      </c>
      <c r="D20" s="20">
        <f>IF(AND('Questions'!$B$9&lt;&gt;"",'Questions'!$H$9="WIZ1"),'Questions'!$B$9&amp;" (art on portrait screen)","")</f>
        <v/>
      </c>
      <c r="E20" s="12">
        <f>IF(AND('Questions'!$B$9&lt;&gt;"",'Questions'!$H$9="WIZ1"),'Questions'!$J$9,"")</f>
        <v/>
      </c>
      <c r="F20" s="12">
        <f>IF(AND('Questions'!$B$9&lt;&gt;"",'Questions'!$H$9="WIZ1"),TEXT('Questions'!$F$9,"000")&amp;".mp4","")</f>
        <v/>
      </c>
    </row>
    <row r="21">
      <c r="A21" s="12">
        <f>IF(AND('Questions'!$B$10&lt;&gt;"",'Questions'!$G$10="WIZ1"),"Question text Q"&amp;'Questions'!$A$10,"")</f>
        <v/>
      </c>
      <c r="B21" s="12">
        <f>IF(AND('Questions'!$B$10&lt;&gt;"",'Questions'!$G$10="WIZ1"),"Q"&amp;'Questions'!$A$10,"")</f>
        <v/>
      </c>
      <c r="C21" s="12">
        <f>IF(AND('Questions'!$B$10&lt;&gt;"",'Questions'!$G$10="WIZ1"),'Questions'!$E$10,"")</f>
        <v/>
      </c>
      <c r="D21" s="20">
        <f>IF(AND('Questions'!$B$10&lt;&gt;"",'Questions'!$G$10="WIZ1"),'Questions'!$B$10&amp;" (question on "&amp;IF('Questions'!$C$10="Portrait","portrait","landscape")&amp;" screen)","")</f>
        <v/>
      </c>
      <c r="E21" s="12">
        <f>IF(AND('Questions'!$B$10&lt;&gt;"",'Questions'!$G$10="WIZ1"),'Questions'!$I$10,"")</f>
        <v/>
      </c>
      <c r="F21" s="12">
        <f>IF(AND('Questions'!$B$10&lt;&gt;"",'Questions'!$G$10="WIZ1"),TEXT(32*0+'Questions'!$E$10,"000")&amp;".mp4","")</f>
        <v/>
      </c>
      <c r="G21" s="12">
        <f>IF(AND('Questions'!$B$10&lt;&gt;"",'Questions'!$G$10="WIZ1"),TEXT(32*1+'Questions'!$E$10,"000")&amp;".mp4","")</f>
        <v/>
      </c>
      <c r="H21" s="12">
        <f>IF(AND('Questions'!$B$10&lt;&gt;"",'Questions'!$G$10="WIZ1"),TEXT(32*2+'Questions'!$E$10,"000")&amp;".mp4","")</f>
        <v/>
      </c>
      <c r="I21" s="12">
        <f>IF(AND('Questions'!$B$10&lt;&gt;"",'Questions'!$G$10="WIZ1"),TEXT(32*3+'Questions'!$E$10,"000")&amp;".mp4","")</f>
        <v/>
      </c>
    </row>
    <row r="22">
      <c r="A22" s="12">
        <f>IF(AND('Questions'!$B$10&lt;&gt;"",'Questions'!$H$10="WIZ1"),"Artwork Q"&amp;'Questions'!$A$10,"")</f>
        <v/>
      </c>
      <c r="B22" s="12">
        <f>IF(AND('Questions'!$B$10&lt;&gt;"",'Questions'!$H$10="WIZ1"),"Q"&amp;'Questions'!$A$10,"")</f>
        <v/>
      </c>
      <c r="C22" s="12">
        <f>IF(AND('Questions'!$B$10&lt;&gt;"",'Questions'!$H$10="WIZ1"),'Questions'!$F$10,"")</f>
        <v/>
      </c>
      <c r="D22" s="20">
        <f>IF(AND('Questions'!$B$10&lt;&gt;"",'Questions'!$H$10="WIZ1"),'Questions'!$B$10&amp;" (art on portrait screen)","")</f>
        <v/>
      </c>
      <c r="E22" s="12">
        <f>IF(AND('Questions'!$B$10&lt;&gt;"",'Questions'!$H$10="WIZ1"),'Questions'!$J$10,"")</f>
        <v/>
      </c>
      <c r="F22" s="12">
        <f>IF(AND('Questions'!$B$10&lt;&gt;"",'Questions'!$H$10="WIZ1"),TEXT('Questions'!$F$10,"000")&amp;".mp4","")</f>
        <v/>
      </c>
    </row>
    <row r="23">
      <c r="A23" s="12">
        <f>IF(AND('Questions'!$B$11&lt;&gt;"",'Questions'!$G$11="WIZ1"),"Question text Q"&amp;'Questions'!$A$11,"")</f>
        <v/>
      </c>
      <c r="B23" s="12">
        <f>IF(AND('Questions'!$B$11&lt;&gt;"",'Questions'!$G$11="WIZ1"),"Q"&amp;'Questions'!$A$11,"")</f>
        <v/>
      </c>
      <c r="C23" s="12">
        <f>IF(AND('Questions'!$B$11&lt;&gt;"",'Questions'!$G$11="WIZ1"),'Questions'!$E$11,"")</f>
        <v/>
      </c>
      <c r="D23" s="20">
        <f>IF(AND('Questions'!$B$11&lt;&gt;"",'Questions'!$G$11="WIZ1"),'Questions'!$B$11&amp;" (question on "&amp;IF('Questions'!$C$11="Portrait","portrait","landscape")&amp;" screen)","")</f>
        <v/>
      </c>
      <c r="E23" s="12">
        <f>IF(AND('Questions'!$B$11&lt;&gt;"",'Questions'!$G$11="WIZ1"),'Questions'!$I$11,"")</f>
        <v/>
      </c>
      <c r="F23" s="12">
        <f>IF(AND('Questions'!$B$11&lt;&gt;"",'Questions'!$G$11="WIZ1"),TEXT(32*0+'Questions'!$E$11,"000")&amp;".mp4","")</f>
        <v/>
      </c>
      <c r="G23" s="12">
        <f>IF(AND('Questions'!$B$11&lt;&gt;"",'Questions'!$G$11="WIZ1"),TEXT(32*1+'Questions'!$E$11,"000")&amp;".mp4","")</f>
        <v/>
      </c>
      <c r="H23" s="12">
        <f>IF(AND('Questions'!$B$11&lt;&gt;"",'Questions'!$G$11="WIZ1"),TEXT(32*2+'Questions'!$E$11,"000")&amp;".mp4","")</f>
        <v/>
      </c>
      <c r="I23" s="12">
        <f>IF(AND('Questions'!$B$11&lt;&gt;"",'Questions'!$G$11="WIZ1"),TEXT(32*3+'Questions'!$E$11,"000")&amp;".mp4","")</f>
        <v/>
      </c>
    </row>
    <row r="24">
      <c r="A24" s="12">
        <f>IF(AND('Questions'!$B$11&lt;&gt;"",'Questions'!$H$11="WIZ1"),"Artwork Q"&amp;'Questions'!$A$11,"")</f>
        <v/>
      </c>
      <c r="B24" s="12">
        <f>IF(AND('Questions'!$B$11&lt;&gt;"",'Questions'!$H$11="WIZ1"),"Q"&amp;'Questions'!$A$11,"")</f>
        <v/>
      </c>
      <c r="C24" s="12">
        <f>IF(AND('Questions'!$B$11&lt;&gt;"",'Questions'!$H$11="WIZ1"),'Questions'!$F$11,"")</f>
        <v/>
      </c>
      <c r="D24" s="20">
        <f>IF(AND('Questions'!$B$11&lt;&gt;"",'Questions'!$H$11="WIZ1"),'Questions'!$B$11&amp;" (art on portrait screen)","")</f>
        <v/>
      </c>
      <c r="E24" s="12">
        <f>IF(AND('Questions'!$B$11&lt;&gt;"",'Questions'!$H$11="WIZ1"),'Questions'!$J$11,"")</f>
        <v/>
      </c>
      <c r="F24" s="12">
        <f>IF(AND('Questions'!$B$11&lt;&gt;"",'Questions'!$H$11="WIZ1"),TEXT('Questions'!$F$11,"000")&amp;".mp4","")</f>
        <v/>
      </c>
    </row>
    <row r="25">
      <c r="A25" s="12">
        <f>IF(AND('Questions'!$B$12&lt;&gt;"",'Questions'!$G$12="WIZ1"),"Question text Q"&amp;'Questions'!$A$12,"")</f>
        <v/>
      </c>
      <c r="B25" s="12">
        <f>IF(AND('Questions'!$B$12&lt;&gt;"",'Questions'!$G$12="WIZ1"),"Q"&amp;'Questions'!$A$12,"")</f>
        <v/>
      </c>
      <c r="C25" s="12">
        <f>IF(AND('Questions'!$B$12&lt;&gt;"",'Questions'!$G$12="WIZ1"),'Questions'!$E$12,"")</f>
        <v/>
      </c>
      <c r="D25" s="20">
        <f>IF(AND('Questions'!$B$12&lt;&gt;"",'Questions'!$G$12="WIZ1"),'Questions'!$B$12&amp;" (question on "&amp;IF('Questions'!$C$12="Portrait","portrait","landscape")&amp;" screen)","")</f>
        <v/>
      </c>
      <c r="E25" s="12">
        <f>IF(AND('Questions'!$B$12&lt;&gt;"",'Questions'!$G$12="WIZ1"),'Questions'!$I$12,"")</f>
        <v/>
      </c>
      <c r="F25" s="12">
        <f>IF(AND('Questions'!$B$12&lt;&gt;"",'Questions'!$G$12="WIZ1"),TEXT(32*0+'Questions'!$E$12,"000")&amp;".mp4","")</f>
        <v/>
      </c>
      <c r="G25" s="12">
        <f>IF(AND('Questions'!$B$12&lt;&gt;"",'Questions'!$G$12="WIZ1"),TEXT(32*1+'Questions'!$E$12,"000")&amp;".mp4","")</f>
        <v/>
      </c>
      <c r="H25" s="12">
        <f>IF(AND('Questions'!$B$12&lt;&gt;"",'Questions'!$G$12="WIZ1"),TEXT(32*2+'Questions'!$E$12,"000")&amp;".mp4","")</f>
        <v/>
      </c>
      <c r="I25" s="12">
        <f>IF(AND('Questions'!$B$12&lt;&gt;"",'Questions'!$G$12="WIZ1"),TEXT(32*3+'Questions'!$E$12,"000")&amp;".mp4","")</f>
        <v/>
      </c>
    </row>
    <row r="26">
      <c r="A26" s="12">
        <f>IF(AND('Questions'!$B$12&lt;&gt;"",'Questions'!$H$12="WIZ1"),"Artwork Q"&amp;'Questions'!$A$12,"")</f>
        <v/>
      </c>
      <c r="B26" s="12">
        <f>IF(AND('Questions'!$B$12&lt;&gt;"",'Questions'!$H$12="WIZ1"),"Q"&amp;'Questions'!$A$12,"")</f>
        <v/>
      </c>
      <c r="C26" s="12">
        <f>IF(AND('Questions'!$B$12&lt;&gt;"",'Questions'!$H$12="WIZ1"),'Questions'!$F$12,"")</f>
        <v/>
      </c>
      <c r="D26" s="20">
        <f>IF(AND('Questions'!$B$12&lt;&gt;"",'Questions'!$H$12="WIZ1"),'Questions'!$B$12&amp;" (art on portrait screen)","")</f>
        <v/>
      </c>
      <c r="E26" s="12">
        <f>IF(AND('Questions'!$B$12&lt;&gt;"",'Questions'!$H$12="WIZ1"),'Questions'!$J$12,"")</f>
        <v/>
      </c>
      <c r="F26" s="12">
        <f>IF(AND('Questions'!$B$12&lt;&gt;"",'Questions'!$H$12="WIZ1"),TEXT('Questions'!$F$12,"000")&amp;".mp4","")</f>
        <v/>
      </c>
    </row>
    <row r="27">
      <c r="A27" s="12">
        <f>IF(AND('Questions'!$B$13&lt;&gt;"",'Questions'!$G$13="WIZ1"),"Question text Q"&amp;'Questions'!$A$13,"")</f>
        <v/>
      </c>
      <c r="B27" s="12">
        <f>IF(AND('Questions'!$B$13&lt;&gt;"",'Questions'!$G$13="WIZ1"),"Q"&amp;'Questions'!$A$13,"")</f>
        <v/>
      </c>
      <c r="C27" s="12">
        <f>IF(AND('Questions'!$B$13&lt;&gt;"",'Questions'!$G$13="WIZ1"),'Questions'!$E$13,"")</f>
        <v/>
      </c>
      <c r="D27" s="20">
        <f>IF(AND('Questions'!$B$13&lt;&gt;"",'Questions'!$G$13="WIZ1"),'Questions'!$B$13&amp;" (question on "&amp;IF('Questions'!$C$13="Portrait","portrait","landscape")&amp;" screen)","")</f>
        <v/>
      </c>
      <c r="E27" s="12">
        <f>IF(AND('Questions'!$B$13&lt;&gt;"",'Questions'!$G$13="WIZ1"),'Questions'!$I$13,"")</f>
        <v/>
      </c>
      <c r="F27" s="12">
        <f>IF(AND('Questions'!$B$13&lt;&gt;"",'Questions'!$G$13="WIZ1"),TEXT(32*0+'Questions'!$E$13,"000")&amp;".mp4","")</f>
        <v/>
      </c>
      <c r="G27" s="12">
        <f>IF(AND('Questions'!$B$13&lt;&gt;"",'Questions'!$G$13="WIZ1"),TEXT(32*1+'Questions'!$E$13,"000")&amp;".mp4","")</f>
        <v/>
      </c>
      <c r="H27" s="12">
        <f>IF(AND('Questions'!$B$13&lt;&gt;"",'Questions'!$G$13="WIZ1"),TEXT(32*2+'Questions'!$E$13,"000")&amp;".mp4","")</f>
        <v/>
      </c>
      <c r="I27" s="12">
        <f>IF(AND('Questions'!$B$13&lt;&gt;"",'Questions'!$G$13="WIZ1"),TEXT(32*3+'Questions'!$E$13,"000")&amp;".mp4","")</f>
        <v/>
      </c>
    </row>
    <row r="28">
      <c r="A28" s="12">
        <f>IF(AND('Questions'!$B$13&lt;&gt;"",'Questions'!$H$13="WIZ1"),"Artwork Q"&amp;'Questions'!$A$13,"")</f>
        <v/>
      </c>
      <c r="B28" s="12">
        <f>IF(AND('Questions'!$B$13&lt;&gt;"",'Questions'!$H$13="WIZ1"),"Q"&amp;'Questions'!$A$13,"")</f>
        <v/>
      </c>
      <c r="C28" s="12">
        <f>IF(AND('Questions'!$B$13&lt;&gt;"",'Questions'!$H$13="WIZ1"),'Questions'!$F$13,"")</f>
        <v/>
      </c>
      <c r="D28" s="20">
        <f>IF(AND('Questions'!$B$13&lt;&gt;"",'Questions'!$H$13="WIZ1"),'Questions'!$B$13&amp;" (art on portrait screen)","")</f>
        <v/>
      </c>
      <c r="E28" s="12">
        <f>IF(AND('Questions'!$B$13&lt;&gt;"",'Questions'!$H$13="WIZ1"),'Questions'!$J$13,"")</f>
        <v/>
      </c>
      <c r="F28" s="12">
        <f>IF(AND('Questions'!$B$13&lt;&gt;"",'Questions'!$H$13="WIZ1"),TEXT('Questions'!$F$13,"000")&amp;".mp4","")</f>
        <v/>
      </c>
    </row>
    <row r="29">
      <c r="A29" s="12">
        <f>IF(AND('Questions'!$B$14&lt;&gt;"",'Questions'!$G$14="WIZ1"),"Question text Q"&amp;'Questions'!$A$14,"")</f>
        <v/>
      </c>
      <c r="B29" s="12">
        <f>IF(AND('Questions'!$B$14&lt;&gt;"",'Questions'!$G$14="WIZ1"),"Q"&amp;'Questions'!$A$14,"")</f>
        <v/>
      </c>
      <c r="C29" s="12">
        <f>IF(AND('Questions'!$B$14&lt;&gt;"",'Questions'!$G$14="WIZ1"),'Questions'!$E$14,"")</f>
        <v/>
      </c>
      <c r="D29" s="20">
        <f>IF(AND('Questions'!$B$14&lt;&gt;"",'Questions'!$G$14="WIZ1"),'Questions'!$B$14&amp;" (question on "&amp;IF('Questions'!$C$14="Portrait","portrait","landscape")&amp;" screen)","")</f>
        <v/>
      </c>
      <c r="E29" s="12">
        <f>IF(AND('Questions'!$B$14&lt;&gt;"",'Questions'!$G$14="WIZ1"),'Questions'!$I$14,"")</f>
        <v/>
      </c>
      <c r="F29" s="12">
        <f>IF(AND('Questions'!$B$14&lt;&gt;"",'Questions'!$G$14="WIZ1"),TEXT(32*0+'Questions'!$E$14,"000")&amp;".mp4","")</f>
        <v/>
      </c>
      <c r="G29" s="12">
        <f>IF(AND('Questions'!$B$14&lt;&gt;"",'Questions'!$G$14="WIZ1"),TEXT(32*1+'Questions'!$E$14,"000")&amp;".mp4","")</f>
        <v/>
      </c>
      <c r="H29" s="12">
        <f>IF(AND('Questions'!$B$14&lt;&gt;"",'Questions'!$G$14="WIZ1"),TEXT(32*2+'Questions'!$E$14,"000")&amp;".mp4","")</f>
        <v/>
      </c>
      <c r="I29" s="12">
        <f>IF(AND('Questions'!$B$14&lt;&gt;"",'Questions'!$G$14="WIZ1"),TEXT(32*3+'Questions'!$E$14,"000")&amp;".mp4","")</f>
        <v/>
      </c>
    </row>
    <row r="30">
      <c r="A30" s="12">
        <f>IF(AND('Questions'!$B$14&lt;&gt;"",'Questions'!$H$14="WIZ1"),"Artwork Q"&amp;'Questions'!$A$14,"")</f>
        <v/>
      </c>
      <c r="B30" s="12">
        <f>IF(AND('Questions'!$B$14&lt;&gt;"",'Questions'!$H$14="WIZ1"),"Q"&amp;'Questions'!$A$14,"")</f>
        <v/>
      </c>
      <c r="C30" s="12">
        <f>IF(AND('Questions'!$B$14&lt;&gt;"",'Questions'!$H$14="WIZ1"),'Questions'!$F$14,"")</f>
        <v/>
      </c>
      <c r="D30" s="20">
        <f>IF(AND('Questions'!$B$14&lt;&gt;"",'Questions'!$H$14="WIZ1"),'Questions'!$B$14&amp;" (art on portrait screen)","")</f>
        <v/>
      </c>
      <c r="E30" s="12">
        <f>IF(AND('Questions'!$B$14&lt;&gt;"",'Questions'!$H$14="WIZ1"),'Questions'!$J$14,"")</f>
        <v/>
      </c>
      <c r="F30" s="12">
        <f>IF(AND('Questions'!$B$14&lt;&gt;"",'Questions'!$H$14="WIZ1"),TEXT('Questions'!$F$14,"000")&amp;".mp4","")</f>
        <v/>
      </c>
    </row>
    <row r="31">
      <c r="A31" s="12">
        <f>IF(AND('Questions'!$B$15&lt;&gt;"",'Questions'!$G$15="WIZ1"),"Question text Q"&amp;'Questions'!$A$15,"")</f>
        <v/>
      </c>
      <c r="B31" s="12">
        <f>IF(AND('Questions'!$B$15&lt;&gt;"",'Questions'!$G$15="WIZ1"),"Q"&amp;'Questions'!$A$15,"")</f>
        <v/>
      </c>
      <c r="C31" s="12">
        <f>IF(AND('Questions'!$B$15&lt;&gt;"",'Questions'!$G$15="WIZ1"),'Questions'!$E$15,"")</f>
        <v/>
      </c>
      <c r="D31" s="20">
        <f>IF(AND('Questions'!$B$15&lt;&gt;"",'Questions'!$G$15="WIZ1"),'Questions'!$B$15&amp;" (question on "&amp;IF('Questions'!$C$15="Portrait","portrait","landscape")&amp;" screen)","")</f>
        <v/>
      </c>
      <c r="E31" s="12">
        <f>IF(AND('Questions'!$B$15&lt;&gt;"",'Questions'!$G$15="WIZ1"),'Questions'!$I$15,"")</f>
        <v/>
      </c>
      <c r="F31" s="12">
        <f>IF(AND('Questions'!$B$15&lt;&gt;"",'Questions'!$G$15="WIZ1"),TEXT(32*0+'Questions'!$E$15,"000")&amp;".mp4","")</f>
        <v/>
      </c>
      <c r="G31" s="12">
        <f>IF(AND('Questions'!$B$15&lt;&gt;"",'Questions'!$G$15="WIZ1"),TEXT(32*1+'Questions'!$E$15,"000")&amp;".mp4","")</f>
        <v/>
      </c>
      <c r="H31" s="12">
        <f>IF(AND('Questions'!$B$15&lt;&gt;"",'Questions'!$G$15="WIZ1"),TEXT(32*2+'Questions'!$E$15,"000")&amp;".mp4","")</f>
        <v/>
      </c>
      <c r="I31" s="12">
        <f>IF(AND('Questions'!$B$15&lt;&gt;"",'Questions'!$G$15="WIZ1"),TEXT(32*3+'Questions'!$E$15,"000")&amp;".mp4","")</f>
        <v/>
      </c>
    </row>
    <row r="32">
      <c r="A32" s="12">
        <f>IF(AND('Questions'!$B$15&lt;&gt;"",'Questions'!$H$15="WIZ1"),"Artwork Q"&amp;'Questions'!$A$15,"")</f>
        <v/>
      </c>
      <c r="B32" s="12">
        <f>IF(AND('Questions'!$B$15&lt;&gt;"",'Questions'!$H$15="WIZ1"),"Q"&amp;'Questions'!$A$15,"")</f>
        <v/>
      </c>
      <c r="C32" s="12">
        <f>IF(AND('Questions'!$B$15&lt;&gt;"",'Questions'!$H$15="WIZ1"),'Questions'!$F$15,"")</f>
        <v/>
      </c>
      <c r="D32" s="20">
        <f>IF(AND('Questions'!$B$15&lt;&gt;"",'Questions'!$H$15="WIZ1"),'Questions'!$B$15&amp;" (art on portrait screen)","")</f>
        <v/>
      </c>
      <c r="E32" s="12">
        <f>IF(AND('Questions'!$B$15&lt;&gt;"",'Questions'!$H$15="WIZ1"),'Questions'!$J$15,"")</f>
        <v/>
      </c>
      <c r="F32" s="12">
        <f>IF(AND('Questions'!$B$15&lt;&gt;"",'Questions'!$H$15="WIZ1"),TEXT('Questions'!$F$15,"000")&amp;".mp4","")</f>
        <v/>
      </c>
    </row>
    <row r="33">
      <c r="A33" s="12">
        <f>IF(AND('Questions'!$B$16&lt;&gt;"",'Questions'!$G$16="WIZ1"),"Question text Q"&amp;'Questions'!$A$16,"")</f>
        <v/>
      </c>
      <c r="B33" s="12">
        <f>IF(AND('Questions'!$B$16&lt;&gt;"",'Questions'!$G$16="WIZ1"),"Q"&amp;'Questions'!$A$16,"")</f>
        <v/>
      </c>
      <c r="C33" s="12">
        <f>IF(AND('Questions'!$B$16&lt;&gt;"",'Questions'!$G$16="WIZ1"),'Questions'!$E$16,"")</f>
        <v/>
      </c>
      <c r="D33" s="20">
        <f>IF(AND('Questions'!$B$16&lt;&gt;"",'Questions'!$G$16="WIZ1"),'Questions'!$B$16&amp;" (question on "&amp;IF('Questions'!$C$16="Portrait","portrait","landscape")&amp;" screen)","")</f>
        <v/>
      </c>
      <c r="E33" s="12">
        <f>IF(AND('Questions'!$B$16&lt;&gt;"",'Questions'!$G$16="WIZ1"),'Questions'!$I$16,"")</f>
        <v/>
      </c>
      <c r="F33" s="12">
        <f>IF(AND('Questions'!$B$16&lt;&gt;"",'Questions'!$G$16="WIZ1"),TEXT(32*0+'Questions'!$E$16,"000")&amp;".mp4","")</f>
        <v/>
      </c>
      <c r="G33" s="12">
        <f>IF(AND('Questions'!$B$16&lt;&gt;"",'Questions'!$G$16="WIZ1"),TEXT(32*1+'Questions'!$E$16,"000")&amp;".mp4","")</f>
        <v/>
      </c>
      <c r="H33" s="12">
        <f>IF(AND('Questions'!$B$16&lt;&gt;"",'Questions'!$G$16="WIZ1"),TEXT(32*2+'Questions'!$E$16,"000")&amp;".mp4","")</f>
        <v/>
      </c>
      <c r="I33" s="12">
        <f>IF(AND('Questions'!$B$16&lt;&gt;"",'Questions'!$G$16="WIZ1"),TEXT(32*3+'Questions'!$E$16,"000")&amp;".mp4","")</f>
        <v/>
      </c>
    </row>
    <row r="34">
      <c r="A34" s="12">
        <f>IF(AND('Questions'!$B$16&lt;&gt;"",'Questions'!$H$16="WIZ1"),"Artwork Q"&amp;'Questions'!$A$16,"")</f>
        <v/>
      </c>
      <c r="B34" s="12">
        <f>IF(AND('Questions'!$B$16&lt;&gt;"",'Questions'!$H$16="WIZ1"),"Q"&amp;'Questions'!$A$16,"")</f>
        <v/>
      </c>
      <c r="C34" s="12">
        <f>IF(AND('Questions'!$B$16&lt;&gt;"",'Questions'!$H$16="WIZ1"),'Questions'!$F$16,"")</f>
        <v/>
      </c>
      <c r="D34" s="20">
        <f>IF(AND('Questions'!$B$16&lt;&gt;"",'Questions'!$H$16="WIZ1"),'Questions'!$B$16&amp;" (art on portrait screen)","")</f>
        <v/>
      </c>
      <c r="E34" s="12">
        <f>IF(AND('Questions'!$B$16&lt;&gt;"",'Questions'!$H$16="WIZ1"),'Questions'!$J$16,"")</f>
        <v/>
      </c>
      <c r="F34" s="12">
        <f>IF(AND('Questions'!$B$16&lt;&gt;"",'Questions'!$H$16="WIZ1"),TEXT('Questions'!$F$16,"000")&amp;".mp4","")</f>
        <v/>
      </c>
    </row>
    <row r="35">
      <c r="A35" s="12">
        <f>IF(AND('Questions'!$B$17&lt;&gt;"",'Questions'!$G$17="WIZ1"),"Question text Q"&amp;'Questions'!$A$17,"")</f>
        <v/>
      </c>
      <c r="B35" s="12">
        <f>IF(AND('Questions'!$B$17&lt;&gt;"",'Questions'!$G$17="WIZ1"),"Q"&amp;'Questions'!$A$17,"")</f>
        <v/>
      </c>
      <c r="C35" s="12">
        <f>IF(AND('Questions'!$B$17&lt;&gt;"",'Questions'!$G$17="WIZ1"),'Questions'!$E$17,"")</f>
        <v/>
      </c>
      <c r="D35" s="20">
        <f>IF(AND('Questions'!$B$17&lt;&gt;"",'Questions'!$G$17="WIZ1"),'Questions'!$B$17&amp;" (question on "&amp;IF('Questions'!$C$17="Portrait","portrait","landscape")&amp;" screen)","")</f>
        <v/>
      </c>
      <c r="E35" s="12">
        <f>IF(AND('Questions'!$B$17&lt;&gt;"",'Questions'!$G$17="WIZ1"),'Questions'!$I$17,"")</f>
        <v/>
      </c>
      <c r="F35" s="12">
        <f>IF(AND('Questions'!$B$17&lt;&gt;"",'Questions'!$G$17="WIZ1"),TEXT(32*0+'Questions'!$E$17,"000")&amp;".mp4","")</f>
        <v/>
      </c>
      <c r="G35" s="12">
        <f>IF(AND('Questions'!$B$17&lt;&gt;"",'Questions'!$G$17="WIZ1"),TEXT(32*1+'Questions'!$E$17,"000")&amp;".mp4","")</f>
        <v/>
      </c>
      <c r="H35" s="12">
        <f>IF(AND('Questions'!$B$17&lt;&gt;"",'Questions'!$G$17="WIZ1"),TEXT(32*2+'Questions'!$E$17,"000")&amp;".mp4","")</f>
        <v/>
      </c>
      <c r="I35" s="12">
        <f>IF(AND('Questions'!$B$17&lt;&gt;"",'Questions'!$G$17="WIZ1"),TEXT(32*3+'Questions'!$E$17,"000")&amp;".mp4","")</f>
        <v/>
      </c>
    </row>
    <row r="36">
      <c r="A36" s="12">
        <f>IF(AND('Questions'!$B$17&lt;&gt;"",'Questions'!$H$17="WIZ1"),"Artwork Q"&amp;'Questions'!$A$17,"")</f>
        <v/>
      </c>
      <c r="B36" s="12">
        <f>IF(AND('Questions'!$B$17&lt;&gt;"",'Questions'!$H$17="WIZ1"),"Q"&amp;'Questions'!$A$17,"")</f>
        <v/>
      </c>
      <c r="C36" s="12">
        <f>IF(AND('Questions'!$B$17&lt;&gt;"",'Questions'!$H$17="WIZ1"),'Questions'!$F$17,"")</f>
        <v/>
      </c>
      <c r="D36" s="20">
        <f>IF(AND('Questions'!$B$17&lt;&gt;"",'Questions'!$H$17="WIZ1"),'Questions'!$B$17&amp;" (art on portrait screen)","")</f>
        <v/>
      </c>
      <c r="E36" s="12">
        <f>IF(AND('Questions'!$B$17&lt;&gt;"",'Questions'!$H$17="WIZ1"),'Questions'!$J$17,"")</f>
        <v/>
      </c>
      <c r="F36" s="12">
        <f>IF(AND('Questions'!$B$17&lt;&gt;"",'Questions'!$H$17="WIZ1"),TEXT('Questions'!$F$17,"000")&amp;".mp4","")</f>
        <v/>
      </c>
    </row>
    <row r="37">
      <c r="A37" s="12">
        <f>IF(AND('Questions'!$B$18&lt;&gt;"",'Questions'!$G$18="WIZ1"),"Question text Q"&amp;'Questions'!$A$18,"")</f>
        <v/>
      </c>
      <c r="B37" s="12">
        <f>IF(AND('Questions'!$B$18&lt;&gt;"",'Questions'!$G$18="WIZ1"),"Q"&amp;'Questions'!$A$18,"")</f>
        <v/>
      </c>
      <c r="C37" s="12">
        <f>IF(AND('Questions'!$B$18&lt;&gt;"",'Questions'!$G$18="WIZ1"),'Questions'!$E$18,"")</f>
        <v/>
      </c>
      <c r="D37" s="20">
        <f>IF(AND('Questions'!$B$18&lt;&gt;"",'Questions'!$G$18="WIZ1"),'Questions'!$B$18&amp;" (question on "&amp;IF('Questions'!$C$18="Portrait","portrait","landscape")&amp;" screen)","")</f>
        <v/>
      </c>
      <c r="E37" s="12">
        <f>IF(AND('Questions'!$B$18&lt;&gt;"",'Questions'!$G$18="WIZ1"),'Questions'!$I$18,"")</f>
        <v/>
      </c>
      <c r="F37" s="12">
        <f>IF(AND('Questions'!$B$18&lt;&gt;"",'Questions'!$G$18="WIZ1"),TEXT(32*0+'Questions'!$E$18,"000")&amp;".mp4","")</f>
        <v/>
      </c>
      <c r="G37" s="12">
        <f>IF(AND('Questions'!$B$18&lt;&gt;"",'Questions'!$G$18="WIZ1"),TEXT(32*1+'Questions'!$E$18,"000")&amp;".mp4","")</f>
        <v/>
      </c>
      <c r="H37" s="12">
        <f>IF(AND('Questions'!$B$18&lt;&gt;"",'Questions'!$G$18="WIZ1"),TEXT(32*2+'Questions'!$E$18,"000")&amp;".mp4","")</f>
        <v/>
      </c>
      <c r="I37" s="12">
        <f>IF(AND('Questions'!$B$18&lt;&gt;"",'Questions'!$G$18="WIZ1"),TEXT(32*3+'Questions'!$E$18,"000")&amp;".mp4","")</f>
        <v/>
      </c>
    </row>
    <row r="38">
      <c r="A38" s="12">
        <f>IF(AND('Questions'!$B$18&lt;&gt;"",'Questions'!$H$18="WIZ1"),"Artwork Q"&amp;'Questions'!$A$18,"")</f>
        <v/>
      </c>
      <c r="B38" s="12">
        <f>IF(AND('Questions'!$B$18&lt;&gt;"",'Questions'!$H$18="WIZ1"),"Q"&amp;'Questions'!$A$18,"")</f>
        <v/>
      </c>
      <c r="C38" s="12">
        <f>IF(AND('Questions'!$B$18&lt;&gt;"",'Questions'!$H$18="WIZ1"),'Questions'!$F$18,"")</f>
        <v/>
      </c>
      <c r="D38" s="20">
        <f>IF(AND('Questions'!$B$18&lt;&gt;"",'Questions'!$H$18="WIZ1"),'Questions'!$B$18&amp;" (art on portrait screen)","")</f>
        <v/>
      </c>
      <c r="E38" s="12">
        <f>IF(AND('Questions'!$B$18&lt;&gt;"",'Questions'!$H$18="WIZ1"),'Questions'!$J$18,"")</f>
        <v/>
      </c>
      <c r="F38" s="12">
        <f>IF(AND('Questions'!$B$18&lt;&gt;"",'Questions'!$H$18="WIZ1"),TEXT('Questions'!$F$18,"000")&amp;".mp4","")</f>
        <v/>
      </c>
    </row>
    <row r="39">
      <c r="A39" s="12">
        <f>IF(AND('Questions'!$B$19&lt;&gt;"",'Questions'!$G$19="WIZ1"),"Question text Q"&amp;'Questions'!$A$19,"")</f>
        <v/>
      </c>
      <c r="B39" s="12">
        <f>IF(AND('Questions'!$B$19&lt;&gt;"",'Questions'!$G$19="WIZ1"),"Q"&amp;'Questions'!$A$19,"")</f>
        <v/>
      </c>
      <c r="C39" s="12">
        <f>IF(AND('Questions'!$B$19&lt;&gt;"",'Questions'!$G$19="WIZ1"),'Questions'!$E$19,"")</f>
        <v/>
      </c>
      <c r="D39" s="20">
        <f>IF(AND('Questions'!$B$19&lt;&gt;"",'Questions'!$G$19="WIZ1"),'Questions'!$B$19&amp;" (question on "&amp;IF('Questions'!$C$19="Portrait","portrait","landscape")&amp;" screen)","")</f>
        <v/>
      </c>
      <c r="E39" s="12">
        <f>IF(AND('Questions'!$B$19&lt;&gt;"",'Questions'!$G$19="WIZ1"),'Questions'!$I$19,"")</f>
        <v/>
      </c>
      <c r="F39" s="12">
        <f>IF(AND('Questions'!$B$19&lt;&gt;"",'Questions'!$G$19="WIZ1"),TEXT(32*0+'Questions'!$E$19,"000")&amp;".mp4","")</f>
        <v/>
      </c>
      <c r="G39" s="12">
        <f>IF(AND('Questions'!$B$19&lt;&gt;"",'Questions'!$G$19="WIZ1"),TEXT(32*1+'Questions'!$E$19,"000")&amp;".mp4","")</f>
        <v/>
      </c>
      <c r="H39" s="12">
        <f>IF(AND('Questions'!$B$19&lt;&gt;"",'Questions'!$G$19="WIZ1"),TEXT(32*2+'Questions'!$E$19,"000")&amp;".mp4","")</f>
        <v/>
      </c>
      <c r="I39" s="12">
        <f>IF(AND('Questions'!$B$19&lt;&gt;"",'Questions'!$G$19="WIZ1"),TEXT(32*3+'Questions'!$E$19,"000")&amp;".mp4","")</f>
        <v/>
      </c>
    </row>
    <row r="40">
      <c r="A40" s="12">
        <f>IF(AND('Questions'!$B$19&lt;&gt;"",'Questions'!$H$19="WIZ1"),"Artwork Q"&amp;'Questions'!$A$19,"")</f>
        <v/>
      </c>
      <c r="B40" s="12">
        <f>IF(AND('Questions'!$B$19&lt;&gt;"",'Questions'!$H$19="WIZ1"),"Q"&amp;'Questions'!$A$19,"")</f>
        <v/>
      </c>
      <c r="C40" s="12">
        <f>IF(AND('Questions'!$B$19&lt;&gt;"",'Questions'!$H$19="WIZ1"),'Questions'!$F$19,"")</f>
        <v/>
      </c>
      <c r="D40" s="20">
        <f>IF(AND('Questions'!$B$19&lt;&gt;"",'Questions'!$H$19="WIZ1"),'Questions'!$B$19&amp;" (art on portrait screen)","")</f>
        <v/>
      </c>
      <c r="E40" s="12">
        <f>IF(AND('Questions'!$B$19&lt;&gt;"",'Questions'!$H$19="WIZ1"),'Questions'!$J$19,"")</f>
        <v/>
      </c>
      <c r="F40" s="12">
        <f>IF(AND('Questions'!$B$19&lt;&gt;"",'Questions'!$H$19="WIZ1"),TEXT('Questions'!$F$19,"000")&amp;".mp4","")</f>
        <v/>
      </c>
    </row>
    <row r="41">
      <c r="A41" s="12">
        <f>IF(AND('Questions'!$B$20&lt;&gt;"",'Questions'!$G$20="WIZ1"),"Question text Q"&amp;'Questions'!$A$20,"")</f>
        <v/>
      </c>
      <c r="B41" s="12">
        <f>IF(AND('Questions'!$B$20&lt;&gt;"",'Questions'!$G$20="WIZ1"),"Q"&amp;'Questions'!$A$20,"")</f>
        <v/>
      </c>
      <c r="C41" s="12">
        <f>IF(AND('Questions'!$B$20&lt;&gt;"",'Questions'!$G$20="WIZ1"),'Questions'!$E$20,"")</f>
        <v/>
      </c>
      <c r="D41" s="20">
        <f>IF(AND('Questions'!$B$20&lt;&gt;"",'Questions'!$G$20="WIZ1"),'Questions'!$B$20&amp;" (question on "&amp;IF('Questions'!$C$20="Portrait","portrait","landscape")&amp;" screen)","")</f>
        <v/>
      </c>
      <c r="E41" s="12">
        <f>IF(AND('Questions'!$B$20&lt;&gt;"",'Questions'!$G$20="WIZ1"),'Questions'!$I$20,"")</f>
        <v/>
      </c>
      <c r="F41" s="12">
        <f>IF(AND('Questions'!$B$20&lt;&gt;"",'Questions'!$G$20="WIZ1"),TEXT(32*0+'Questions'!$E$20,"000")&amp;".mp4","")</f>
        <v/>
      </c>
      <c r="G41" s="12">
        <f>IF(AND('Questions'!$B$20&lt;&gt;"",'Questions'!$G$20="WIZ1"),TEXT(32*1+'Questions'!$E$20,"000")&amp;".mp4","")</f>
        <v/>
      </c>
      <c r="H41" s="12">
        <f>IF(AND('Questions'!$B$20&lt;&gt;"",'Questions'!$G$20="WIZ1"),TEXT(32*2+'Questions'!$E$20,"000")&amp;".mp4","")</f>
        <v/>
      </c>
      <c r="I41" s="12">
        <f>IF(AND('Questions'!$B$20&lt;&gt;"",'Questions'!$G$20="WIZ1"),TEXT(32*3+'Questions'!$E$20,"000")&amp;".mp4","")</f>
        <v/>
      </c>
    </row>
    <row r="42">
      <c r="A42" s="12">
        <f>IF(AND('Questions'!$B$20&lt;&gt;"",'Questions'!$H$20="WIZ1"),"Artwork Q"&amp;'Questions'!$A$20,"")</f>
        <v/>
      </c>
      <c r="B42" s="12">
        <f>IF(AND('Questions'!$B$20&lt;&gt;"",'Questions'!$H$20="WIZ1"),"Q"&amp;'Questions'!$A$20,"")</f>
        <v/>
      </c>
      <c r="C42" s="12">
        <f>IF(AND('Questions'!$B$20&lt;&gt;"",'Questions'!$H$20="WIZ1"),'Questions'!$F$20,"")</f>
        <v/>
      </c>
      <c r="D42" s="20">
        <f>IF(AND('Questions'!$B$20&lt;&gt;"",'Questions'!$H$20="WIZ1"),'Questions'!$B$20&amp;" (art on portrait screen)","")</f>
        <v/>
      </c>
      <c r="E42" s="12">
        <f>IF(AND('Questions'!$B$20&lt;&gt;"",'Questions'!$H$20="WIZ1"),'Questions'!$J$20,"")</f>
        <v/>
      </c>
      <c r="F42" s="12">
        <f>IF(AND('Questions'!$B$20&lt;&gt;"",'Questions'!$H$20="WIZ1"),TEXT('Questions'!$F$20,"000")&amp;".mp4","")</f>
        <v/>
      </c>
    </row>
    <row r="43">
      <c r="A43" s="12">
        <f>IF(AND('Questions'!$B$21&lt;&gt;"",'Questions'!$G$21="WIZ1"),"Question text Q"&amp;'Questions'!$A$21,"")</f>
        <v/>
      </c>
      <c r="B43" s="12">
        <f>IF(AND('Questions'!$B$21&lt;&gt;"",'Questions'!$G$21="WIZ1"),"Q"&amp;'Questions'!$A$21,"")</f>
        <v/>
      </c>
      <c r="C43" s="12">
        <f>IF(AND('Questions'!$B$21&lt;&gt;"",'Questions'!$G$21="WIZ1"),'Questions'!$E$21,"")</f>
        <v/>
      </c>
      <c r="D43" s="20">
        <f>IF(AND('Questions'!$B$21&lt;&gt;"",'Questions'!$G$21="WIZ1"),'Questions'!$B$21&amp;" (question on "&amp;IF('Questions'!$C$21="Portrait","portrait","landscape")&amp;" screen)","")</f>
        <v/>
      </c>
      <c r="E43" s="12">
        <f>IF(AND('Questions'!$B$21&lt;&gt;"",'Questions'!$G$21="WIZ1"),'Questions'!$I$21,"")</f>
        <v/>
      </c>
      <c r="F43" s="12">
        <f>IF(AND('Questions'!$B$21&lt;&gt;"",'Questions'!$G$21="WIZ1"),TEXT(32*0+'Questions'!$E$21,"000")&amp;".mp4","")</f>
        <v/>
      </c>
      <c r="G43" s="12">
        <f>IF(AND('Questions'!$B$21&lt;&gt;"",'Questions'!$G$21="WIZ1"),TEXT(32*1+'Questions'!$E$21,"000")&amp;".mp4","")</f>
        <v/>
      </c>
      <c r="H43" s="12">
        <f>IF(AND('Questions'!$B$21&lt;&gt;"",'Questions'!$G$21="WIZ1"),TEXT(32*2+'Questions'!$E$21,"000")&amp;".mp4","")</f>
        <v/>
      </c>
      <c r="I43" s="12">
        <f>IF(AND('Questions'!$B$21&lt;&gt;"",'Questions'!$G$21="WIZ1"),TEXT(32*3+'Questions'!$E$21,"000")&amp;".mp4","")</f>
        <v/>
      </c>
    </row>
    <row r="44">
      <c r="A44" s="12">
        <f>IF(AND('Questions'!$B$21&lt;&gt;"",'Questions'!$H$21="WIZ1"),"Artwork Q"&amp;'Questions'!$A$21,"")</f>
        <v/>
      </c>
      <c r="B44" s="12">
        <f>IF(AND('Questions'!$B$21&lt;&gt;"",'Questions'!$H$21="WIZ1"),"Q"&amp;'Questions'!$A$21,"")</f>
        <v/>
      </c>
      <c r="C44" s="12">
        <f>IF(AND('Questions'!$B$21&lt;&gt;"",'Questions'!$H$21="WIZ1"),'Questions'!$F$21,"")</f>
        <v/>
      </c>
      <c r="D44" s="20">
        <f>IF(AND('Questions'!$B$21&lt;&gt;"",'Questions'!$H$21="WIZ1"),'Questions'!$B$21&amp;" (art on portrait screen)","")</f>
        <v/>
      </c>
      <c r="E44" s="12">
        <f>IF(AND('Questions'!$B$21&lt;&gt;"",'Questions'!$H$21="WIZ1"),'Questions'!$J$21,"")</f>
        <v/>
      </c>
      <c r="F44" s="12">
        <f>IF(AND('Questions'!$B$21&lt;&gt;"",'Questions'!$H$21="WIZ1"),TEXT('Questions'!$F$21,"000")&amp;".mp4","")</f>
        <v/>
      </c>
    </row>
    <row r="45">
      <c r="A45" s="12">
        <f>IF(AND('Questions'!$B$22&lt;&gt;"",'Questions'!$G$22="WIZ1"),"Question text Q"&amp;'Questions'!$A$22,"")</f>
        <v/>
      </c>
      <c r="B45" s="12">
        <f>IF(AND('Questions'!$B$22&lt;&gt;"",'Questions'!$G$22="WIZ1"),"Q"&amp;'Questions'!$A$22,"")</f>
        <v/>
      </c>
      <c r="C45" s="12">
        <f>IF(AND('Questions'!$B$22&lt;&gt;"",'Questions'!$G$22="WIZ1"),'Questions'!$E$22,"")</f>
        <v/>
      </c>
      <c r="D45" s="20">
        <f>IF(AND('Questions'!$B$22&lt;&gt;"",'Questions'!$G$22="WIZ1"),'Questions'!$B$22&amp;" (question on "&amp;IF('Questions'!$C$22="Portrait","portrait","landscape")&amp;" screen)","")</f>
        <v/>
      </c>
      <c r="E45" s="12">
        <f>IF(AND('Questions'!$B$22&lt;&gt;"",'Questions'!$G$22="WIZ1"),'Questions'!$I$22,"")</f>
        <v/>
      </c>
      <c r="F45" s="12">
        <f>IF(AND('Questions'!$B$22&lt;&gt;"",'Questions'!$G$22="WIZ1"),TEXT(32*0+'Questions'!$E$22,"000")&amp;".mp4","")</f>
        <v/>
      </c>
      <c r="G45" s="12">
        <f>IF(AND('Questions'!$B$22&lt;&gt;"",'Questions'!$G$22="WIZ1"),TEXT(32*1+'Questions'!$E$22,"000")&amp;".mp4","")</f>
        <v/>
      </c>
      <c r="H45" s="12">
        <f>IF(AND('Questions'!$B$22&lt;&gt;"",'Questions'!$G$22="WIZ1"),TEXT(32*2+'Questions'!$E$22,"000")&amp;".mp4","")</f>
        <v/>
      </c>
      <c r="I45" s="12">
        <f>IF(AND('Questions'!$B$22&lt;&gt;"",'Questions'!$G$22="WIZ1"),TEXT(32*3+'Questions'!$E$22,"000")&amp;".mp4","")</f>
        <v/>
      </c>
    </row>
    <row r="46">
      <c r="A46" s="12">
        <f>IF(AND('Questions'!$B$22&lt;&gt;"",'Questions'!$H$22="WIZ1"),"Artwork Q"&amp;'Questions'!$A$22,"")</f>
        <v/>
      </c>
      <c r="B46" s="12">
        <f>IF(AND('Questions'!$B$22&lt;&gt;"",'Questions'!$H$22="WIZ1"),"Q"&amp;'Questions'!$A$22,"")</f>
        <v/>
      </c>
      <c r="C46" s="12">
        <f>IF(AND('Questions'!$B$22&lt;&gt;"",'Questions'!$H$22="WIZ1"),'Questions'!$F$22,"")</f>
        <v/>
      </c>
      <c r="D46" s="20">
        <f>IF(AND('Questions'!$B$22&lt;&gt;"",'Questions'!$H$22="WIZ1"),'Questions'!$B$22&amp;" (art on portrait screen)","")</f>
        <v/>
      </c>
      <c r="E46" s="12">
        <f>IF(AND('Questions'!$B$22&lt;&gt;"",'Questions'!$H$22="WIZ1"),'Questions'!$J$22,"")</f>
        <v/>
      </c>
      <c r="F46" s="12">
        <f>IF(AND('Questions'!$B$22&lt;&gt;"",'Questions'!$H$22="WIZ1"),TEXT('Questions'!$F$22,"000")&amp;".mp4","")</f>
        <v/>
      </c>
    </row>
    <row r="47">
      <c r="A47" s="12">
        <f>IF(AND('Questions'!$B$23&lt;&gt;"",'Questions'!$G$23="WIZ1"),"Question text Q"&amp;'Questions'!$A$23,"")</f>
        <v/>
      </c>
      <c r="B47" s="12">
        <f>IF(AND('Questions'!$B$23&lt;&gt;"",'Questions'!$G$23="WIZ1"),"Q"&amp;'Questions'!$A$23,"")</f>
        <v/>
      </c>
      <c r="C47" s="12">
        <f>IF(AND('Questions'!$B$23&lt;&gt;"",'Questions'!$G$23="WIZ1"),'Questions'!$E$23,"")</f>
        <v/>
      </c>
      <c r="D47" s="20">
        <f>IF(AND('Questions'!$B$23&lt;&gt;"",'Questions'!$G$23="WIZ1"),'Questions'!$B$23&amp;" (question on "&amp;IF('Questions'!$C$23="Portrait","portrait","landscape")&amp;" screen)","")</f>
        <v/>
      </c>
      <c r="E47" s="12">
        <f>IF(AND('Questions'!$B$23&lt;&gt;"",'Questions'!$G$23="WIZ1"),'Questions'!$I$23,"")</f>
        <v/>
      </c>
      <c r="F47" s="12">
        <f>IF(AND('Questions'!$B$23&lt;&gt;"",'Questions'!$G$23="WIZ1"),TEXT(32*0+'Questions'!$E$23,"000")&amp;".mp4","")</f>
        <v/>
      </c>
      <c r="G47" s="12">
        <f>IF(AND('Questions'!$B$23&lt;&gt;"",'Questions'!$G$23="WIZ1"),TEXT(32*1+'Questions'!$E$23,"000")&amp;".mp4","")</f>
        <v/>
      </c>
      <c r="H47" s="12">
        <f>IF(AND('Questions'!$B$23&lt;&gt;"",'Questions'!$G$23="WIZ1"),TEXT(32*2+'Questions'!$E$23,"000")&amp;".mp4","")</f>
        <v/>
      </c>
      <c r="I47" s="12">
        <f>IF(AND('Questions'!$B$23&lt;&gt;"",'Questions'!$G$23="WIZ1"),TEXT(32*3+'Questions'!$E$23,"000")&amp;".mp4","")</f>
        <v/>
      </c>
    </row>
    <row r="48">
      <c r="A48" s="12">
        <f>IF(AND('Questions'!$B$23&lt;&gt;"",'Questions'!$H$23="WIZ1"),"Artwork Q"&amp;'Questions'!$A$23,"")</f>
        <v/>
      </c>
      <c r="B48" s="12">
        <f>IF(AND('Questions'!$B$23&lt;&gt;"",'Questions'!$H$23="WIZ1"),"Q"&amp;'Questions'!$A$23,"")</f>
        <v/>
      </c>
      <c r="C48" s="12">
        <f>IF(AND('Questions'!$B$23&lt;&gt;"",'Questions'!$H$23="WIZ1"),'Questions'!$F$23,"")</f>
        <v/>
      </c>
      <c r="D48" s="20">
        <f>IF(AND('Questions'!$B$23&lt;&gt;"",'Questions'!$H$23="WIZ1"),'Questions'!$B$23&amp;" (art on portrait screen)","")</f>
        <v/>
      </c>
      <c r="E48" s="12">
        <f>IF(AND('Questions'!$B$23&lt;&gt;"",'Questions'!$H$23="WIZ1"),'Questions'!$J$23,"")</f>
        <v/>
      </c>
      <c r="F48" s="12">
        <f>IF(AND('Questions'!$B$23&lt;&gt;"",'Questions'!$H$23="WIZ1"),TEXT('Questions'!$F$23,"000")&amp;".mp4","")</f>
        <v/>
      </c>
    </row>
    <row r="49">
      <c r="A49" s="12">
        <f>IF(AND('Questions'!$B$24&lt;&gt;"",'Questions'!$G$24="WIZ1"),"Question text Q"&amp;'Questions'!$A$24,"")</f>
        <v/>
      </c>
      <c r="B49" s="12">
        <f>IF(AND('Questions'!$B$24&lt;&gt;"",'Questions'!$G$24="WIZ1"),"Q"&amp;'Questions'!$A$24,"")</f>
        <v/>
      </c>
      <c r="C49" s="12">
        <f>IF(AND('Questions'!$B$24&lt;&gt;"",'Questions'!$G$24="WIZ1"),'Questions'!$E$24,"")</f>
        <v/>
      </c>
      <c r="D49" s="20">
        <f>IF(AND('Questions'!$B$24&lt;&gt;"",'Questions'!$G$24="WIZ1"),'Questions'!$B$24&amp;" (question on "&amp;IF('Questions'!$C$24="Portrait","portrait","landscape")&amp;" screen)","")</f>
        <v/>
      </c>
      <c r="E49" s="12">
        <f>IF(AND('Questions'!$B$24&lt;&gt;"",'Questions'!$G$24="WIZ1"),'Questions'!$I$24,"")</f>
        <v/>
      </c>
      <c r="F49" s="12">
        <f>IF(AND('Questions'!$B$24&lt;&gt;"",'Questions'!$G$24="WIZ1"),TEXT(32*0+'Questions'!$E$24,"000")&amp;".mp4","")</f>
        <v/>
      </c>
      <c r="G49" s="12">
        <f>IF(AND('Questions'!$B$24&lt;&gt;"",'Questions'!$G$24="WIZ1"),TEXT(32*1+'Questions'!$E$24,"000")&amp;".mp4","")</f>
        <v/>
      </c>
      <c r="H49" s="12">
        <f>IF(AND('Questions'!$B$24&lt;&gt;"",'Questions'!$G$24="WIZ1"),TEXT(32*2+'Questions'!$E$24,"000")&amp;".mp4","")</f>
        <v/>
      </c>
      <c r="I49" s="12">
        <f>IF(AND('Questions'!$B$24&lt;&gt;"",'Questions'!$G$24="WIZ1"),TEXT(32*3+'Questions'!$E$24,"000")&amp;".mp4","")</f>
        <v/>
      </c>
    </row>
    <row r="50">
      <c r="A50" s="12">
        <f>IF(AND('Questions'!$B$24&lt;&gt;"",'Questions'!$H$24="WIZ1"),"Artwork Q"&amp;'Questions'!$A$24,"")</f>
        <v/>
      </c>
      <c r="B50" s="12">
        <f>IF(AND('Questions'!$B$24&lt;&gt;"",'Questions'!$H$24="WIZ1"),"Q"&amp;'Questions'!$A$24,"")</f>
        <v/>
      </c>
      <c r="C50" s="12">
        <f>IF(AND('Questions'!$B$24&lt;&gt;"",'Questions'!$H$24="WIZ1"),'Questions'!$F$24,"")</f>
        <v/>
      </c>
      <c r="D50" s="20">
        <f>IF(AND('Questions'!$B$24&lt;&gt;"",'Questions'!$H$24="WIZ1"),'Questions'!$B$24&amp;" (art on portrait screen)","")</f>
        <v/>
      </c>
      <c r="E50" s="12">
        <f>IF(AND('Questions'!$B$24&lt;&gt;"",'Questions'!$H$24="WIZ1"),'Questions'!$J$24,"")</f>
        <v/>
      </c>
      <c r="F50" s="12">
        <f>IF(AND('Questions'!$B$24&lt;&gt;"",'Questions'!$H$24="WIZ1"),TEXT('Questions'!$F$24,"000")&amp;".mp4","")</f>
        <v/>
      </c>
    </row>
    <row r="51">
      <c r="A51" s="12">
        <f>IF(AND('Questions'!$B$25&lt;&gt;"",'Questions'!$G$25="WIZ1"),"Question text Q"&amp;'Questions'!$A$25,"")</f>
        <v/>
      </c>
      <c r="B51" s="12">
        <f>IF(AND('Questions'!$B$25&lt;&gt;"",'Questions'!$G$25="WIZ1"),"Q"&amp;'Questions'!$A$25,"")</f>
        <v/>
      </c>
      <c r="C51" s="12">
        <f>IF(AND('Questions'!$B$25&lt;&gt;"",'Questions'!$G$25="WIZ1"),'Questions'!$E$25,"")</f>
        <v/>
      </c>
      <c r="D51" s="20">
        <f>IF(AND('Questions'!$B$25&lt;&gt;"",'Questions'!$G$25="WIZ1"),'Questions'!$B$25&amp;" (question on "&amp;IF('Questions'!$C$25="Portrait","portrait","landscape")&amp;" screen)","")</f>
        <v/>
      </c>
      <c r="E51" s="12">
        <f>IF(AND('Questions'!$B$25&lt;&gt;"",'Questions'!$G$25="WIZ1"),'Questions'!$I$25,"")</f>
        <v/>
      </c>
      <c r="F51" s="12">
        <f>IF(AND('Questions'!$B$25&lt;&gt;"",'Questions'!$G$25="WIZ1"),TEXT(32*0+'Questions'!$E$25,"000")&amp;".mp4","")</f>
        <v/>
      </c>
      <c r="G51" s="12">
        <f>IF(AND('Questions'!$B$25&lt;&gt;"",'Questions'!$G$25="WIZ1"),TEXT(32*1+'Questions'!$E$25,"000")&amp;".mp4","")</f>
        <v/>
      </c>
      <c r="H51" s="12">
        <f>IF(AND('Questions'!$B$25&lt;&gt;"",'Questions'!$G$25="WIZ1"),TEXT(32*2+'Questions'!$E$25,"000")&amp;".mp4","")</f>
        <v/>
      </c>
      <c r="I51" s="12">
        <f>IF(AND('Questions'!$B$25&lt;&gt;"",'Questions'!$G$25="WIZ1"),TEXT(32*3+'Questions'!$E$25,"000")&amp;".mp4","")</f>
        <v/>
      </c>
    </row>
    <row r="52">
      <c r="A52" s="12">
        <f>IF(AND('Questions'!$B$25&lt;&gt;"",'Questions'!$H$25="WIZ1"),"Artwork Q"&amp;'Questions'!$A$25,"")</f>
        <v/>
      </c>
      <c r="B52" s="12">
        <f>IF(AND('Questions'!$B$25&lt;&gt;"",'Questions'!$H$25="WIZ1"),"Q"&amp;'Questions'!$A$25,"")</f>
        <v/>
      </c>
      <c r="C52" s="12">
        <f>IF(AND('Questions'!$B$25&lt;&gt;"",'Questions'!$H$25="WIZ1"),'Questions'!$F$25,"")</f>
        <v/>
      </c>
      <c r="D52" s="20">
        <f>IF(AND('Questions'!$B$25&lt;&gt;"",'Questions'!$H$25="WIZ1"),'Questions'!$B$25&amp;" (art on portrait screen)","")</f>
        <v/>
      </c>
      <c r="E52" s="12">
        <f>IF(AND('Questions'!$B$25&lt;&gt;"",'Questions'!$H$25="WIZ1"),'Questions'!$J$25,"")</f>
        <v/>
      </c>
      <c r="F52" s="12">
        <f>IF(AND('Questions'!$B$25&lt;&gt;"",'Questions'!$H$25="WIZ1"),TEXT('Questions'!$F$25,"000")&amp;".mp4","")</f>
        <v/>
      </c>
    </row>
    <row r="53">
      <c r="A53" s="12">
        <f>IF(AND('Questions'!$B$26&lt;&gt;"",'Questions'!$G$26="WIZ1"),"Question text Q"&amp;'Questions'!$A$26,"")</f>
        <v/>
      </c>
      <c r="B53" s="12">
        <f>IF(AND('Questions'!$B$26&lt;&gt;"",'Questions'!$G$26="WIZ1"),"Q"&amp;'Questions'!$A$26,"")</f>
        <v/>
      </c>
      <c r="C53" s="12">
        <f>IF(AND('Questions'!$B$26&lt;&gt;"",'Questions'!$G$26="WIZ1"),'Questions'!$E$26,"")</f>
        <v/>
      </c>
      <c r="D53" s="20">
        <f>IF(AND('Questions'!$B$26&lt;&gt;"",'Questions'!$G$26="WIZ1"),'Questions'!$B$26&amp;" (question on "&amp;IF('Questions'!$C$26="Portrait","portrait","landscape")&amp;" screen)","")</f>
        <v/>
      </c>
      <c r="E53" s="12">
        <f>IF(AND('Questions'!$B$26&lt;&gt;"",'Questions'!$G$26="WIZ1"),'Questions'!$I$26,"")</f>
        <v/>
      </c>
      <c r="F53" s="12">
        <f>IF(AND('Questions'!$B$26&lt;&gt;"",'Questions'!$G$26="WIZ1"),TEXT(32*0+'Questions'!$E$26,"000")&amp;".mp4","")</f>
        <v/>
      </c>
      <c r="G53" s="12">
        <f>IF(AND('Questions'!$B$26&lt;&gt;"",'Questions'!$G$26="WIZ1"),TEXT(32*1+'Questions'!$E$26,"000")&amp;".mp4","")</f>
        <v/>
      </c>
      <c r="H53" s="12">
        <f>IF(AND('Questions'!$B$26&lt;&gt;"",'Questions'!$G$26="WIZ1"),TEXT(32*2+'Questions'!$E$26,"000")&amp;".mp4","")</f>
        <v/>
      </c>
      <c r="I53" s="12">
        <f>IF(AND('Questions'!$B$26&lt;&gt;"",'Questions'!$G$26="WIZ1"),TEXT(32*3+'Questions'!$E$26,"000")&amp;".mp4","")</f>
        <v/>
      </c>
    </row>
    <row r="54">
      <c r="A54" s="12">
        <f>IF(AND('Questions'!$B$26&lt;&gt;"",'Questions'!$H$26="WIZ1"),"Artwork Q"&amp;'Questions'!$A$26,"")</f>
        <v/>
      </c>
      <c r="B54" s="12">
        <f>IF(AND('Questions'!$B$26&lt;&gt;"",'Questions'!$H$26="WIZ1"),"Q"&amp;'Questions'!$A$26,"")</f>
        <v/>
      </c>
      <c r="C54" s="12">
        <f>IF(AND('Questions'!$B$26&lt;&gt;"",'Questions'!$H$26="WIZ1"),'Questions'!$F$26,"")</f>
        <v/>
      </c>
      <c r="D54" s="20">
        <f>IF(AND('Questions'!$B$26&lt;&gt;"",'Questions'!$H$26="WIZ1"),'Questions'!$B$26&amp;" (art on portrait screen)","")</f>
        <v/>
      </c>
      <c r="E54" s="12">
        <f>IF(AND('Questions'!$B$26&lt;&gt;"",'Questions'!$H$26="WIZ1"),'Questions'!$J$26,"")</f>
        <v/>
      </c>
      <c r="F54" s="12">
        <f>IF(AND('Questions'!$B$26&lt;&gt;"",'Questions'!$H$26="WIZ1"),TEXT('Questions'!$F$26,"000")&amp;".mp4","")</f>
        <v/>
      </c>
    </row>
    <row r="55">
      <c r="A55" s="12">
        <f>IF(AND('Questions'!$B$27&lt;&gt;"",'Questions'!$G$27="WIZ1"),"Question text Q"&amp;'Questions'!$A$27,"")</f>
        <v/>
      </c>
      <c r="B55" s="12">
        <f>IF(AND('Questions'!$B$27&lt;&gt;"",'Questions'!$G$27="WIZ1"),"Q"&amp;'Questions'!$A$27,"")</f>
        <v/>
      </c>
      <c r="C55" s="12">
        <f>IF(AND('Questions'!$B$27&lt;&gt;"",'Questions'!$G$27="WIZ1"),'Questions'!$E$27,"")</f>
        <v/>
      </c>
      <c r="D55" s="20">
        <f>IF(AND('Questions'!$B$27&lt;&gt;"",'Questions'!$G$27="WIZ1"),'Questions'!$B$27&amp;" (question on "&amp;IF('Questions'!$C$27="Portrait","portrait","landscape")&amp;" screen)","")</f>
        <v/>
      </c>
      <c r="E55" s="12">
        <f>IF(AND('Questions'!$B$27&lt;&gt;"",'Questions'!$G$27="WIZ1"),'Questions'!$I$27,"")</f>
        <v/>
      </c>
      <c r="F55" s="12">
        <f>IF(AND('Questions'!$B$27&lt;&gt;"",'Questions'!$G$27="WIZ1"),TEXT(32*0+'Questions'!$E$27,"000")&amp;".mp4","")</f>
        <v/>
      </c>
      <c r="G55" s="12">
        <f>IF(AND('Questions'!$B$27&lt;&gt;"",'Questions'!$G$27="WIZ1"),TEXT(32*1+'Questions'!$E$27,"000")&amp;".mp4","")</f>
        <v/>
      </c>
      <c r="H55" s="12">
        <f>IF(AND('Questions'!$B$27&lt;&gt;"",'Questions'!$G$27="WIZ1"),TEXT(32*2+'Questions'!$E$27,"000")&amp;".mp4","")</f>
        <v/>
      </c>
      <c r="I55" s="12">
        <f>IF(AND('Questions'!$B$27&lt;&gt;"",'Questions'!$G$27="WIZ1"),TEXT(32*3+'Questions'!$E$27,"000")&amp;".mp4","")</f>
        <v/>
      </c>
    </row>
    <row r="56">
      <c r="A56" s="12">
        <f>IF(AND('Questions'!$B$27&lt;&gt;"",'Questions'!$H$27="WIZ1"),"Artwork Q"&amp;'Questions'!$A$27,"")</f>
        <v/>
      </c>
      <c r="B56" s="12">
        <f>IF(AND('Questions'!$B$27&lt;&gt;"",'Questions'!$H$27="WIZ1"),"Q"&amp;'Questions'!$A$27,"")</f>
        <v/>
      </c>
      <c r="C56" s="12">
        <f>IF(AND('Questions'!$B$27&lt;&gt;"",'Questions'!$H$27="WIZ1"),'Questions'!$F$27,"")</f>
        <v/>
      </c>
      <c r="D56" s="20">
        <f>IF(AND('Questions'!$B$27&lt;&gt;"",'Questions'!$H$27="WIZ1"),'Questions'!$B$27&amp;" (art on portrait screen)","")</f>
        <v/>
      </c>
      <c r="E56" s="12">
        <f>IF(AND('Questions'!$B$27&lt;&gt;"",'Questions'!$H$27="WIZ1"),'Questions'!$J$27,"")</f>
        <v/>
      </c>
      <c r="F56" s="12">
        <f>IF(AND('Questions'!$B$27&lt;&gt;"",'Questions'!$H$27="WIZ1"),TEXT('Questions'!$F$27,"000")&amp;".mp4","")</f>
        <v/>
      </c>
    </row>
  </sheetData>
  <sheetProtection selectLockedCells="0" selectUnlockedCells="0" sheet="1" objects="0" insertRows="1" insertHyperlinks="1" autoFilter="1" scenarios="0" formatColumns="1" deleteColumns="1" insertColumns="1" pivotTables="1" deleteRows="1" formatCells="1" formatRows="1" sort="1"/>
  <mergeCells count="2">
    <mergeCell ref="A1:I1"/>
    <mergeCell ref="A2:I2"/>
  </mergeCells>
  <pageMargins left="0.75" right="0.75" top="1" bottom="1" header="0.5" footer="0.5"/>
</worksheet>
</file>

<file path=xl/worksheets/sheet4.xml><?xml version="1.0" encoding="utf-8"?>
<worksheet xmlns="http://schemas.openxmlformats.org/spreadsheetml/2006/main">
  <sheetPr>
    <tabColor rgb="007030A0"/>
    <outlinePr summaryBelow="1" summaryRight="1"/>
    <pageSetUpPr/>
  </sheetPr>
  <dimension ref="A1:I56"/>
  <sheetViews>
    <sheetView workbookViewId="0">
      <pane ySplit="3" topLeftCell="A4" activePane="bottomLeft" state="frozen"/>
      <selection pane="bottomLeft" activeCell="A1" sqref="A1"/>
    </sheetView>
  </sheetViews>
  <sheetFormatPr baseColWidth="8" defaultRowHeight="15"/>
  <cols>
    <col width="22" customWidth="1" min="1" max="1"/>
    <col width="8" customWidth="1" min="2" max="2"/>
    <col width="10" customWidth="1" min="3" max="3"/>
    <col width="44" customWidth="1" min="4" max="4"/>
    <col width="12" customWidth="1" min="5" max="5"/>
    <col width="12" customWidth="1" min="6" max="6"/>
    <col width="12" customWidth="1" min="7" max="7"/>
    <col width="12" customWidth="1" min="8" max="8"/>
    <col width="12" customWidth="1" min="9" max="9"/>
  </cols>
  <sheetData>
    <row r="1">
      <c r="A1" s="1" t="inlineStr">
        <is>
          <t>SD card - WIZ2 landscape display</t>
        </is>
      </c>
    </row>
    <row r="2">
      <c r="A2" s="4" t="inlineStr">
        <is>
          <t>Copy each file to this SD card using the exact name shown. Encode each row at the Aspect shown (portrait 1080x1920 or landscape 1920x1080). Quiz rows are computed from the Questions sheet; clear Artwork there to drop a step.</t>
        </is>
      </c>
    </row>
    <row r="3">
      <c r="A3" s="18" t="inlineStr">
        <is>
          <t>Role</t>
        </is>
      </c>
      <c r="B3" s="18" t="inlineStr">
        <is>
          <t>Quiz ref</t>
        </is>
      </c>
      <c r="C3" s="19" t="inlineStr">
        <is>
          <t>File index</t>
        </is>
      </c>
      <c r="D3" s="18" t="inlineStr">
        <is>
          <t>Content</t>
        </is>
      </c>
      <c r="E3" s="18" t="inlineStr">
        <is>
          <t>Aspect</t>
        </is>
      </c>
      <c r="F3" s="7" t="inlineStr">
        <is>
          <t>EN file</t>
        </is>
      </c>
      <c r="G3" s="7" t="inlineStr">
        <is>
          <t>FR file</t>
        </is>
      </c>
      <c r="H3" s="7" t="inlineStr">
        <is>
          <t>DE file</t>
        </is>
      </c>
      <c r="I3" s="7" t="inlineStr">
        <is>
          <t>IT file</t>
        </is>
      </c>
    </row>
    <row r="4">
      <c r="A4" s="12" t="inlineStr">
        <is>
          <t>Idle artwork</t>
        </is>
      </c>
      <c r="B4" s="12" t="inlineStr">
        <is>
          <t>-</t>
        </is>
      </c>
      <c r="C4" s="14" t="n">
        <v>0</v>
      </c>
      <c r="D4" s="20" t="inlineStr">
        <is>
          <t>Intro visual landscape (all languages)</t>
        </is>
      </c>
      <c r="E4" s="12" t="inlineStr">
        <is>
          <t>1920x1080</t>
        </is>
      </c>
      <c r="F4" s="12">
        <f>IF(C4="","",TEXT(C4,"000")&amp;".mp4")</f>
        <v/>
      </c>
    </row>
    <row r="5">
      <c r="A5" s="12" t="inlineStr">
        <is>
          <t>Profile art Emotions</t>
        </is>
      </c>
      <c r="B5" s="12" t="inlineStr">
        <is>
          <t>-</t>
        </is>
      </c>
      <c r="C5" s="14" t="n">
        <v>17</v>
      </c>
      <c r="D5" s="20" t="inlineStr">
        <is>
          <t>Result visual - emotions</t>
        </is>
      </c>
      <c r="E5" s="12" t="inlineStr">
        <is>
          <t>1920x1080</t>
        </is>
      </c>
      <c r="F5" s="12">
        <f>IF(C5="","",TEXT(C5,"000")&amp;".mp4")</f>
        <v/>
      </c>
    </row>
    <row r="6">
      <c r="A6" s="12" t="inlineStr">
        <is>
          <t>Profile art Realiste</t>
        </is>
      </c>
      <c r="B6" s="12" t="inlineStr">
        <is>
          <t>-</t>
        </is>
      </c>
      <c r="C6" s="14" t="n">
        <v>18</v>
      </c>
      <c r="D6" s="20" t="inlineStr">
        <is>
          <t>Result visual - precision</t>
        </is>
      </c>
      <c r="E6" s="12" t="inlineStr">
        <is>
          <t>1920x1080</t>
        </is>
      </c>
      <c r="F6" s="12">
        <f>IF(C6="","",TEXT(C6,"000")&amp;".mp4")</f>
        <v/>
      </c>
    </row>
    <row r="7">
      <c r="A7" s="12" t="inlineStr">
        <is>
          <t>Profile art Matiere</t>
        </is>
      </c>
      <c r="B7" s="12" t="inlineStr">
        <is>
          <t>-</t>
        </is>
      </c>
      <c r="C7" s="14" t="n">
        <v>19</v>
      </c>
      <c r="D7" s="20" t="inlineStr">
        <is>
          <t>Result visual - matter</t>
        </is>
      </c>
      <c r="E7" s="12" t="inlineStr">
        <is>
          <t>1920x1080</t>
        </is>
      </c>
      <c r="F7" s="12">
        <f>IF(C7="","",TEXT(C7,"000")&amp;".mp4")</f>
        <v/>
      </c>
    </row>
    <row r="8">
      <c r="A8" s="12" t="inlineStr">
        <is>
          <t>Profile art Conteur</t>
        </is>
      </c>
      <c r="B8" s="12" t="inlineStr">
        <is>
          <t>-</t>
        </is>
      </c>
      <c r="C8" s="14" t="n">
        <v>20</v>
      </c>
      <c r="D8" s="20" t="inlineStr">
        <is>
          <t>Result visual - storyteller</t>
        </is>
      </c>
      <c r="E8" s="12" t="inlineStr">
        <is>
          <t>1920x1080</t>
        </is>
      </c>
      <c r="F8" s="12">
        <f>IF(C8="","",TEXT(C8,"000")&amp;".mp4")</f>
        <v/>
      </c>
    </row>
    <row r="9">
      <c r="A9" s="12">
        <f>IF(AND('Questions'!$B$4&lt;&gt;"",'Questions'!$G$4="WIZ2"),"Question text Q"&amp;'Questions'!$A$4,"")</f>
        <v/>
      </c>
      <c r="B9" s="12">
        <f>IF(AND('Questions'!$B$4&lt;&gt;"",'Questions'!$G$4="WIZ2"),"Q"&amp;'Questions'!$A$4,"")</f>
        <v/>
      </c>
      <c r="C9" s="12">
        <f>IF(AND('Questions'!$B$4&lt;&gt;"",'Questions'!$G$4="WIZ2"),'Questions'!$E$4,"")</f>
        <v/>
      </c>
      <c r="D9" s="20">
        <f>IF(AND('Questions'!$B$4&lt;&gt;"",'Questions'!$G$4="WIZ2"),'Questions'!$B$4&amp;" (question on "&amp;IF('Questions'!$C$4="Portrait","portrait","landscape")&amp;" screen)","")</f>
        <v/>
      </c>
      <c r="E9" s="12">
        <f>IF(AND('Questions'!$B$4&lt;&gt;"",'Questions'!$G$4="WIZ2"),'Questions'!$I$4,"")</f>
        <v/>
      </c>
      <c r="F9" s="12">
        <f>IF(AND('Questions'!$B$4&lt;&gt;"",'Questions'!$G$4="WIZ2"),TEXT(32*0+'Questions'!$E$4,"000")&amp;".mp4","")</f>
        <v/>
      </c>
      <c r="G9" s="12">
        <f>IF(AND('Questions'!$B$4&lt;&gt;"",'Questions'!$G$4="WIZ2"),TEXT(32*1+'Questions'!$E$4,"000")&amp;".mp4","")</f>
        <v/>
      </c>
      <c r="H9" s="12">
        <f>IF(AND('Questions'!$B$4&lt;&gt;"",'Questions'!$G$4="WIZ2"),TEXT(32*2+'Questions'!$E$4,"000")&amp;".mp4","")</f>
        <v/>
      </c>
      <c r="I9" s="12">
        <f>IF(AND('Questions'!$B$4&lt;&gt;"",'Questions'!$G$4="WIZ2"),TEXT(32*3+'Questions'!$E$4,"000")&amp;".mp4","")</f>
        <v/>
      </c>
    </row>
    <row r="10">
      <c r="A10" s="12">
        <f>IF(AND('Questions'!$B$4&lt;&gt;"",'Questions'!$H$4="WIZ2"),"Artwork Q"&amp;'Questions'!$A$4,"")</f>
        <v/>
      </c>
      <c r="B10" s="12">
        <f>IF(AND('Questions'!$B$4&lt;&gt;"",'Questions'!$H$4="WIZ2"),"Q"&amp;'Questions'!$A$4,"")</f>
        <v/>
      </c>
      <c r="C10" s="12">
        <f>IF(AND('Questions'!$B$4&lt;&gt;"",'Questions'!$H$4="WIZ2"),'Questions'!$F$4,"")</f>
        <v/>
      </c>
      <c r="D10" s="20">
        <f>IF(AND('Questions'!$B$4&lt;&gt;"",'Questions'!$H$4="WIZ2"),'Questions'!$B$4&amp;" (art on landscape screen)","")</f>
        <v/>
      </c>
      <c r="E10" s="12">
        <f>IF(AND('Questions'!$B$4&lt;&gt;"",'Questions'!$H$4="WIZ2"),'Questions'!$J$4,"")</f>
        <v/>
      </c>
      <c r="F10" s="12">
        <f>IF(AND('Questions'!$B$4&lt;&gt;"",'Questions'!$H$4="WIZ2"),TEXT('Questions'!$F$4,"000")&amp;".mp4","")</f>
        <v/>
      </c>
    </row>
    <row r="11">
      <c r="A11" s="12">
        <f>IF(AND('Questions'!$B$5&lt;&gt;"",'Questions'!$G$5="WIZ2"),"Question text Q"&amp;'Questions'!$A$5,"")</f>
        <v/>
      </c>
      <c r="B11" s="12">
        <f>IF(AND('Questions'!$B$5&lt;&gt;"",'Questions'!$G$5="WIZ2"),"Q"&amp;'Questions'!$A$5,"")</f>
        <v/>
      </c>
      <c r="C11" s="12">
        <f>IF(AND('Questions'!$B$5&lt;&gt;"",'Questions'!$G$5="WIZ2"),'Questions'!$E$5,"")</f>
        <v/>
      </c>
      <c r="D11" s="20">
        <f>IF(AND('Questions'!$B$5&lt;&gt;"",'Questions'!$G$5="WIZ2"),'Questions'!$B$5&amp;" (question on "&amp;IF('Questions'!$C$5="Portrait","portrait","landscape")&amp;" screen)","")</f>
        <v/>
      </c>
      <c r="E11" s="12">
        <f>IF(AND('Questions'!$B$5&lt;&gt;"",'Questions'!$G$5="WIZ2"),'Questions'!$I$5,"")</f>
        <v/>
      </c>
      <c r="F11" s="12">
        <f>IF(AND('Questions'!$B$5&lt;&gt;"",'Questions'!$G$5="WIZ2"),TEXT(32*0+'Questions'!$E$5,"000")&amp;".mp4","")</f>
        <v/>
      </c>
      <c r="G11" s="12">
        <f>IF(AND('Questions'!$B$5&lt;&gt;"",'Questions'!$G$5="WIZ2"),TEXT(32*1+'Questions'!$E$5,"000")&amp;".mp4","")</f>
        <v/>
      </c>
      <c r="H11" s="12">
        <f>IF(AND('Questions'!$B$5&lt;&gt;"",'Questions'!$G$5="WIZ2"),TEXT(32*2+'Questions'!$E$5,"000")&amp;".mp4","")</f>
        <v/>
      </c>
      <c r="I11" s="12">
        <f>IF(AND('Questions'!$B$5&lt;&gt;"",'Questions'!$G$5="WIZ2"),TEXT(32*3+'Questions'!$E$5,"000")&amp;".mp4","")</f>
        <v/>
      </c>
    </row>
    <row r="12">
      <c r="A12" s="12">
        <f>IF(AND('Questions'!$B$5&lt;&gt;"",'Questions'!$H$5="WIZ2"),"Artwork Q"&amp;'Questions'!$A$5,"")</f>
        <v/>
      </c>
      <c r="B12" s="12">
        <f>IF(AND('Questions'!$B$5&lt;&gt;"",'Questions'!$H$5="WIZ2"),"Q"&amp;'Questions'!$A$5,"")</f>
        <v/>
      </c>
      <c r="C12" s="12">
        <f>IF(AND('Questions'!$B$5&lt;&gt;"",'Questions'!$H$5="WIZ2"),'Questions'!$F$5,"")</f>
        <v/>
      </c>
      <c r="D12" s="20">
        <f>IF(AND('Questions'!$B$5&lt;&gt;"",'Questions'!$H$5="WIZ2"),'Questions'!$B$5&amp;" (art on landscape screen)","")</f>
        <v/>
      </c>
      <c r="E12" s="12">
        <f>IF(AND('Questions'!$B$5&lt;&gt;"",'Questions'!$H$5="WIZ2"),'Questions'!$J$5,"")</f>
        <v/>
      </c>
      <c r="F12" s="12">
        <f>IF(AND('Questions'!$B$5&lt;&gt;"",'Questions'!$H$5="WIZ2"),TEXT('Questions'!$F$5,"000")&amp;".mp4","")</f>
        <v/>
      </c>
    </row>
    <row r="13">
      <c r="A13" s="12">
        <f>IF(AND('Questions'!$B$6&lt;&gt;"",'Questions'!$G$6="WIZ2"),"Question text Q"&amp;'Questions'!$A$6,"")</f>
        <v/>
      </c>
      <c r="B13" s="12">
        <f>IF(AND('Questions'!$B$6&lt;&gt;"",'Questions'!$G$6="WIZ2"),"Q"&amp;'Questions'!$A$6,"")</f>
        <v/>
      </c>
      <c r="C13" s="12">
        <f>IF(AND('Questions'!$B$6&lt;&gt;"",'Questions'!$G$6="WIZ2"),'Questions'!$E$6,"")</f>
        <v/>
      </c>
      <c r="D13" s="20">
        <f>IF(AND('Questions'!$B$6&lt;&gt;"",'Questions'!$G$6="WIZ2"),'Questions'!$B$6&amp;" (question on "&amp;IF('Questions'!$C$6="Portrait","portrait","landscape")&amp;" screen)","")</f>
        <v/>
      </c>
      <c r="E13" s="12">
        <f>IF(AND('Questions'!$B$6&lt;&gt;"",'Questions'!$G$6="WIZ2"),'Questions'!$I$6,"")</f>
        <v/>
      </c>
      <c r="F13" s="12">
        <f>IF(AND('Questions'!$B$6&lt;&gt;"",'Questions'!$G$6="WIZ2"),TEXT(32*0+'Questions'!$E$6,"000")&amp;".mp4","")</f>
        <v/>
      </c>
      <c r="G13" s="12">
        <f>IF(AND('Questions'!$B$6&lt;&gt;"",'Questions'!$G$6="WIZ2"),TEXT(32*1+'Questions'!$E$6,"000")&amp;".mp4","")</f>
        <v/>
      </c>
      <c r="H13" s="12">
        <f>IF(AND('Questions'!$B$6&lt;&gt;"",'Questions'!$G$6="WIZ2"),TEXT(32*2+'Questions'!$E$6,"000")&amp;".mp4","")</f>
        <v/>
      </c>
      <c r="I13" s="12">
        <f>IF(AND('Questions'!$B$6&lt;&gt;"",'Questions'!$G$6="WIZ2"),TEXT(32*3+'Questions'!$E$6,"000")&amp;".mp4","")</f>
        <v/>
      </c>
    </row>
    <row r="14">
      <c r="A14" s="12">
        <f>IF(AND('Questions'!$B$6&lt;&gt;"",'Questions'!$H$6="WIZ2"),"Artwork Q"&amp;'Questions'!$A$6,"")</f>
        <v/>
      </c>
      <c r="B14" s="12">
        <f>IF(AND('Questions'!$B$6&lt;&gt;"",'Questions'!$H$6="WIZ2"),"Q"&amp;'Questions'!$A$6,"")</f>
        <v/>
      </c>
      <c r="C14" s="12">
        <f>IF(AND('Questions'!$B$6&lt;&gt;"",'Questions'!$H$6="WIZ2"),'Questions'!$F$6,"")</f>
        <v/>
      </c>
      <c r="D14" s="20">
        <f>IF(AND('Questions'!$B$6&lt;&gt;"",'Questions'!$H$6="WIZ2"),'Questions'!$B$6&amp;" (art on landscape screen)","")</f>
        <v/>
      </c>
      <c r="E14" s="12">
        <f>IF(AND('Questions'!$B$6&lt;&gt;"",'Questions'!$H$6="WIZ2"),'Questions'!$J$6,"")</f>
        <v/>
      </c>
      <c r="F14" s="12">
        <f>IF(AND('Questions'!$B$6&lt;&gt;"",'Questions'!$H$6="WIZ2"),TEXT('Questions'!$F$6,"000")&amp;".mp4","")</f>
        <v/>
      </c>
    </row>
    <row r="15">
      <c r="A15" s="12">
        <f>IF(AND('Questions'!$B$7&lt;&gt;"",'Questions'!$G$7="WIZ2"),"Question text Q"&amp;'Questions'!$A$7,"")</f>
        <v/>
      </c>
      <c r="B15" s="12">
        <f>IF(AND('Questions'!$B$7&lt;&gt;"",'Questions'!$G$7="WIZ2"),"Q"&amp;'Questions'!$A$7,"")</f>
        <v/>
      </c>
      <c r="C15" s="12">
        <f>IF(AND('Questions'!$B$7&lt;&gt;"",'Questions'!$G$7="WIZ2"),'Questions'!$E$7,"")</f>
        <v/>
      </c>
      <c r="D15" s="20">
        <f>IF(AND('Questions'!$B$7&lt;&gt;"",'Questions'!$G$7="WIZ2"),'Questions'!$B$7&amp;" (question on "&amp;IF('Questions'!$C$7="Portrait","portrait","landscape")&amp;" screen)","")</f>
        <v/>
      </c>
      <c r="E15" s="12">
        <f>IF(AND('Questions'!$B$7&lt;&gt;"",'Questions'!$G$7="WIZ2"),'Questions'!$I$7,"")</f>
        <v/>
      </c>
      <c r="F15" s="12">
        <f>IF(AND('Questions'!$B$7&lt;&gt;"",'Questions'!$G$7="WIZ2"),TEXT(32*0+'Questions'!$E$7,"000")&amp;".mp4","")</f>
        <v/>
      </c>
      <c r="G15" s="12">
        <f>IF(AND('Questions'!$B$7&lt;&gt;"",'Questions'!$G$7="WIZ2"),TEXT(32*1+'Questions'!$E$7,"000")&amp;".mp4","")</f>
        <v/>
      </c>
      <c r="H15" s="12">
        <f>IF(AND('Questions'!$B$7&lt;&gt;"",'Questions'!$G$7="WIZ2"),TEXT(32*2+'Questions'!$E$7,"000")&amp;".mp4","")</f>
        <v/>
      </c>
      <c r="I15" s="12">
        <f>IF(AND('Questions'!$B$7&lt;&gt;"",'Questions'!$G$7="WIZ2"),TEXT(32*3+'Questions'!$E$7,"000")&amp;".mp4","")</f>
        <v/>
      </c>
    </row>
    <row r="16">
      <c r="A16" s="12">
        <f>IF(AND('Questions'!$B$7&lt;&gt;"",'Questions'!$H$7="WIZ2"),"Artwork Q"&amp;'Questions'!$A$7,"")</f>
        <v/>
      </c>
      <c r="B16" s="12">
        <f>IF(AND('Questions'!$B$7&lt;&gt;"",'Questions'!$H$7="WIZ2"),"Q"&amp;'Questions'!$A$7,"")</f>
        <v/>
      </c>
      <c r="C16" s="12">
        <f>IF(AND('Questions'!$B$7&lt;&gt;"",'Questions'!$H$7="WIZ2"),'Questions'!$F$7,"")</f>
        <v/>
      </c>
      <c r="D16" s="20">
        <f>IF(AND('Questions'!$B$7&lt;&gt;"",'Questions'!$H$7="WIZ2"),'Questions'!$B$7&amp;" (art on landscape screen)","")</f>
        <v/>
      </c>
      <c r="E16" s="12">
        <f>IF(AND('Questions'!$B$7&lt;&gt;"",'Questions'!$H$7="WIZ2"),'Questions'!$J$7,"")</f>
        <v/>
      </c>
      <c r="F16" s="12">
        <f>IF(AND('Questions'!$B$7&lt;&gt;"",'Questions'!$H$7="WIZ2"),TEXT('Questions'!$F$7,"000")&amp;".mp4","")</f>
        <v/>
      </c>
    </row>
    <row r="17">
      <c r="A17" s="12">
        <f>IF(AND('Questions'!$B$8&lt;&gt;"",'Questions'!$G$8="WIZ2"),"Question text Q"&amp;'Questions'!$A$8,"")</f>
        <v/>
      </c>
      <c r="B17" s="12">
        <f>IF(AND('Questions'!$B$8&lt;&gt;"",'Questions'!$G$8="WIZ2"),"Q"&amp;'Questions'!$A$8,"")</f>
        <v/>
      </c>
      <c r="C17" s="12">
        <f>IF(AND('Questions'!$B$8&lt;&gt;"",'Questions'!$G$8="WIZ2"),'Questions'!$E$8,"")</f>
        <v/>
      </c>
      <c r="D17" s="20">
        <f>IF(AND('Questions'!$B$8&lt;&gt;"",'Questions'!$G$8="WIZ2"),'Questions'!$B$8&amp;" (question on "&amp;IF('Questions'!$C$8="Portrait","portrait","landscape")&amp;" screen)","")</f>
        <v/>
      </c>
      <c r="E17" s="12">
        <f>IF(AND('Questions'!$B$8&lt;&gt;"",'Questions'!$G$8="WIZ2"),'Questions'!$I$8,"")</f>
        <v/>
      </c>
      <c r="F17" s="12">
        <f>IF(AND('Questions'!$B$8&lt;&gt;"",'Questions'!$G$8="WIZ2"),TEXT(32*0+'Questions'!$E$8,"000")&amp;".mp4","")</f>
        <v/>
      </c>
      <c r="G17" s="12">
        <f>IF(AND('Questions'!$B$8&lt;&gt;"",'Questions'!$G$8="WIZ2"),TEXT(32*1+'Questions'!$E$8,"000")&amp;".mp4","")</f>
        <v/>
      </c>
      <c r="H17" s="12">
        <f>IF(AND('Questions'!$B$8&lt;&gt;"",'Questions'!$G$8="WIZ2"),TEXT(32*2+'Questions'!$E$8,"000")&amp;".mp4","")</f>
        <v/>
      </c>
      <c r="I17" s="12">
        <f>IF(AND('Questions'!$B$8&lt;&gt;"",'Questions'!$G$8="WIZ2"),TEXT(32*3+'Questions'!$E$8,"000")&amp;".mp4","")</f>
        <v/>
      </c>
    </row>
    <row r="18">
      <c r="A18" s="12">
        <f>IF(AND('Questions'!$B$8&lt;&gt;"",'Questions'!$H$8="WIZ2"),"Artwork Q"&amp;'Questions'!$A$8,"")</f>
        <v/>
      </c>
      <c r="B18" s="12">
        <f>IF(AND('Questions'!$B$8&lt;&gt;"",'Questions'!$H$8="WIZ2"),"Q"&amp;'Questions'!$A$8,"")</f>
        <v/>
      </c>
      <c r="C18" s="12">
        <f>IF(AND('Questions'!$B$8&lt;&gt;"",'Questions'!$H$8="WIZ2"),'Questions'!$F$8,"")</f>
        <v/>
      </c>
      <c r="D18" s="20">
        <f>IF(AND('Questions'!$B$8&lt;&gt;"",'Questions'!$H$8="WIZ2"),'Questions'!$B$8&amp;" (art on landscape screen)","")</f>
        <v/>
      </c>
      <c r="E18" s="12">
        <f>IF(AND('Questions'!$B$8&lt;&gt;"",'Questions'!$H$8="WIZ2"),'Questions'!$J$8,"")</f>
        <v/>
      </c>
      <c r="F18" s="12">
        <f>IF(AND('Questions'!$B$8&lt;&gt;"",'Questions'!$H$8="WIZ2"),TEXT('Questions'!$F$8,"000")&amp;".mp4","")</f>
        <v/>
      </c>
    </row>
    <row r="19">
      <c r="A19" s="12">
        <f>IF(AND('Questions'!$B$9&lt;&gt;"",'Questions'!$G$9="WIZ2"),"Question text Q"&amp;'Questions'!$A$9,"")</f>
        <v/>
      </c>
      <c r="B19" s="12">
        <f>IF(AND('Questions'!$B$9&lt;&gt;"",'Questions'!$G$9="WIZ2"),"Q"&amp;'Questions'!$A$9,"")</f>
        <v/>
      </c>
      <c r="C19" s="12">
        <f>IF(AND('Questions'!$B$9&lt;&gt;"",'Questions'!$G$9="WIZ2"),'Questions'!$E$9,"")</f>
        <v/>
      </c>
      <c r="D19" s="20">
        <f>IF(AND('Questions'!$B$9&lt;&gt;"",'Questions'!$G$9="WIZ2"),'Questions'!$B$9&amp;" (question on "&amp;IF('Questions'!$C$9="Portrait","portrait","landscape")&amp;" screen)","")</f>
        <v/>
      </c>
      <c r="E19" s="12">
        <f>IF(AND('Questions'!$B$9&lt;&gt;"",'Questions'!$G$9="WIZ2"),'Questions'!$I$9,"")</f>
        <v/>
      </c>
      <c r="F19" s="12">
        <f>IF(AND('Questions'!$B$9&lt;&gt;"",'Questions'!$G$9="WIZ2"),TEXT(32*0+'Questions'!$E$9,"000")&amp;".mp4","")</f>
        <v/>
      </c>
      <c r="G19" s="12">
        <f>IF(AND('Questions'!$B$9&lt;&gt;"",'Questions'!$G$9="WIZ2"),TEXT(32*1+'Questions'!$E$9,"000")&amp;".mp4","")</f>
        <v/>
      </c>
      <c r="H19" s="12">
        <f>IF(AND('Questions'!$B$9&lt;&gt;"",'Questions'!$G$9="WIZ2"),TEXT(32*2+'Questions'!$E$9,"000")&amp;".mp4","")</f>
        <v/>
      </c>
      <c r="I19" s="12">
        <f>IF(AND('Questions'!$B$9&lt;&gt;"",'Questions'!$G$9="WIZ2"),TEXT(32*3+'Questions'!$E$9,"000")&amp;".mp4","")</f>
        <v/>
      </c>
    </row>
    <row r="20">
      <c r="A20" s="12">
        <f>IF(AND('Questions'!$B$9&lt;&gt;"",'Questions'!$H$9="WIZ2"),"Artwork Q"&amp;'Questions'!$A$9,"")</f>
        <v/>
      </c>
      <c r="B20" s="12">
        <f>IF(AND('Questions'!$B$9&lt;&gt;"",'Questions'!$H$9="WIZ2"),"Q"&amp;'Questions'!$A$9,"")</f>
        <v/>
      </c>
      <c r="C20" s="12">
        <f>IF(AND('Questions'!$B$9&lt;&gt;"",'Questions'!$H$9="WIZ2"),'Questions'!$F$9,"")</f>
        <v/>
      </c>
      <c r="D20" s="20">
        <f>IF(AND('Questions'!$B$9&lt;&gt;"",'Questions'!$H$9="WIZ2"),'Questions'!$B$9&amp;" (art on landscape screen)","")</f>
        <v/>
      </c>
      <c r="E20" s="12">
        <f>IF(AND('Questions'!$B$9&lt;&gt;"",'Questions'!$H$9="WIZ2"),'Questions'!$J$9,"")</f>
        <v/>
      </c>
      <c r="F20" s="12">
        <f>IF(AND('Questions'!$B$9&lt;&gt;"",'Questions'!$H$9="WIZ2"),TEXT('Questions'!$F$9,"000")&amp;".mp4","")</f>
        <v/>
      </c>
    </row>
    <row r="21">
      <c r="A21" s="12">
        <f>IF(AND('Questions'!$B$10&lt;&gt;"",'Questions'!$G$10="WIZ2"),"Question text Q"&amp;'Questions'!$A$10,"")</f>
        <v/>
      </c>
      <c r="B21" s="12">
        <f>IF(AND('Questions'!$B$10&lt;&gt;"",'Questions'!$G$10="WIZ2"),"Q"&amp;'Questions'!$A$10,"")</f>
        <v/>
      </c>
      <c r="C21" s="12">
        <f>IF(AND('Questions'!$B$10&lt;&gt;"",'Questions'!$G$10="WIZ2"),'Questions'!$E$10,"")</f>
        <v/>
      </c>
      <c r="D21" s="20">
        <f>IF(AND('Questions'!$B$10&lt;&gt;"",'Questions'!$G$10="WIZ2"),'Questions'!$B$10&amp;" (question on "&amp;IF('Questions'!$C$10="Portrait","portrait","landscape")&amp;" screen)","")</f>
        <v/>
      </c>
      <c r="E21" s="12">
        <f>IF(AND('Questions'!$B$10&lt;&gt;"",'Questions'!$G$10="WIZ2"),'Questions'!$I$10,"")</f>
        <v/>
      </c>
      <c r="F21" s="12">
        <f>IF(AND('Questions'!$B$10&lt;&gt;"",'Questions'!$G$10="WIZ2"),TEXT(32*0+'Questions'!$E$10,"000")&amp;".mp4","")</f>
        <v/>
      </c>
      <c r="G21" s="12">
        <f>IF(AND('Questions'!$B$10&lt;&gt;"",'Questions'!$G$10="WIZ2"),TEXT(32*1+'Questions'!$E$10,"000")&amp;".mp4","")</f>
        <v/>
      </c>
      <c r="H21" s="12">
        <f>IF(AND('Questions'!$B$10&lt;&gt;"",'Questions'!$G$10="WIZ2"),TEXT(32*2+'Questions'!$E$10,"000")&amp;".mp4","")</f>
        <v/>
      </c>
      <c r="I21" s="12">
        <f>IF(AND('Questions'!$B$10&lt;&gt;"",'Questions'!$G$10="WIZ2"),TEXT(32*3+'Questions'!$E$10,"000")&amp;".mp4","")</f>
        <v/>
      </c>
    </row>
    <row r="22">
      <c r="A22" s="12">
        <f>IF(AND('Questions'!$B$10&lt;&gt;"",'Questions'!$H$10="WIZ2"),"Artwork Q"&amp;'Questions'!$A$10,"")</f>
        <v/>
      </c>
      <c r="B22" s="12">
        <f>IF(AND('Questions'!$B$10&lt;&gt;"",'Questions'!$H$10="WIZ2"),"Q"&amp;'Questions'!$A$10,"")</f>
        <v/>
      </c>
      <c r="C22" s="12">
        <f>IF(AND('Questions'!$B$10&lt;&gt;"",'Questions'!$H$10="WIZ2"),'Questions'!$F$10,"")</f>
        <v/>
      </c>
      <c r="D22" s="20">
        <f>IF(AND('Questions'!$B$10&lt;&gt;"",'Questions'!$H$10="WIZ2"),'Questions'!$B$10&amp;" (art on landscape screen)","")</f>
        <v/>
      </c>
      <c r="E22" s="12">
        <f>IF(AND('Questions'!$B$10&lt;&gt;"",'Questions'!$H$10="WIZ2"),'Questions'!$J$10,"")</f>
        <v/>
      </c>
      <c r="F22" s="12">
        <f>IF(AND('Questions'!$B$10&lt;&gt;"",'Questions'!$H$10="WIZ2"),TEXT('Questions'!$F$10,"000")&amp;".mp4","")</f>
        <v/>
      </c>
    </row>
    <row r="23">
      <c r="A23" s="12">
        <f>IF(AND('Questions'!$B$11&lt;&gt;"",'Questions'!$G$11="WIZ2"),"Question text Q"&amp;'Questions'!$A$11,"")</f>
        <v/>
      </c>
      <c r="B23" s="12">
        <f>IF(AND('Questions'!$B$11&lt;&gt;"",'Questions'!$G$11="WIZ2"),"Q"&amp;'Questions'!$A$11,"")</f>
        <v/>
      </c>
      <c r="C23" s="12">
        <f>IF(AND('Questions'!$B$11&lt;&gt;"",'Questions'!$G$11="WIZ2"),'Questions'!$E$11,"")</f>
        <v/>
      </c>
      <c r="D23" s="20">
        <f>IF(AND('Questions'!$B$11&lt;&gt;"",'Questions'!$G$11="WIZ2"),'Questions'!$B$11&amp;" (question on "&amp;IF('Questions'!$C$11="Portrait","portrait","landscape")&amp;" screen)","")</f>
        <v/>
      </c>
      <c r="E23" s="12">
        <f>IF(AND('Questions'!$B$11&lt;&gt;"",'Questions'!$G$11="WIZ2"),'Questions'!$I$11,"")</f>
        <v/>
      </c>
      <c r="F23" s="12">
        <f>IF(AND('Questions'!$B$11&lt;&gt;"",'Questions'!$G$11="WIZ2"),TEXT(32*0+'Questions'!$E$11,"000")&amp;".mp4","")</f>
        <v/>
      </c>
      <c r="G23" s="12">
        <f>IF(AND('Questions'!$B$11&lt;&gt;"",'Questions'!$G$11="WIZ2"),TEXT(32*1+'Questions'!$E$11,"000")&amp;".mp4","")</f>
        <v/>
      </c>
      <c r="H23" s="12">
        <f>IF(AND('Questions'!$B$11&lt;&gt;"",'Questions'!$G$11="WIZ2"),TEXT(32*2+'Questions'!$E$11,"000")&amp;".mp4","")</f>
        <v/>
      </c>
      <c r="I23" s="12">
        <f>IF(AND('Questions'!$B$11&lt;&gt;"",'Questions'!$G$11="WIZ2"),TEXT(32*3+'Questions'!$E$11,"000")&amp;".mp4","")</f>
        <v/>
      </c>
    </row>
    <row r="24">
      <c r="A24" s="12">
        <f>IF(AND('Questions'!$B$11&lt;&gt;"",'Questions'!$H$11="WIZ2"),"Artwork Q"&amp;'Questions'!$A$11,"")</f>
        <v/>
      </c>
      <c r="B24" s="12">
        <f>IF(AND('Questions'!$B$11&lt;&gt;"",'Questions'!$H$11="WIZ2"),"Q"&amp;'Questions'!$A$11,"")</f>
        <v/>
      </c>
      <c r="C24" s="12">
        <f>IF(AND('Questions'!$B$11&lt;&gt;"",'Questions'!$H$11="WIZ2"),'Questions'!$F$11,"")</f>
        <v/>
      </c>
      <c r="D24" s="20">
        <f>IF(AND('Questions'!$B$11&lt;&gt;"",'Questions'!$H$11="WIZ2"),'Questions'!$B$11&amp;" (art on landscape screen)","")</f>
        <v/>
      </c>
      <c r="E24" s="12">
        <f>IF(AND('Questions'!$B$11&lt;&gt;"",'Questions'!$H$11="WIZ2"),'Questions'!$J$11,"")</f>
        <v/>
      </c>
      <c r="F24" s="12">
        <f>IF(AND('Questions'!$B$11&lt;&gt;"",'Questions'!$H$11="WIZ2"),TEXT('Questions'!$F$11,"000")&amp;".mp4","")</f>
        <v/>
      </c>
    </row>
    <row r="25">
      <c r="A25" s="12">
        <f>IF(AND('Questions'!$B$12&lt;&gt;"",'Questions'!$G$12="WIZ2"),"Question text Q"&amp;'Questions'!$A$12,"")</f>
        <v/>
      </c>
      <c r="B25" s="12">
        <f>IF(AND('Questions'!$B$12&lt;&gt;"",'Questions'!$G$12="WIZ2"),"Q"&amp;'Questions'!$A$12,"")</f>
        <v/>
      </c>
      <c r="C25" s="12">
        <f>IF(AND('Questions'!$B$12&lt;&gt;"",'Questions'!$G$12="WIZ2"),'Questions'!$E$12,"")</f>
        <v/>
      </c>
      <c r="D25" s="20">
        <f>IF(AND('Questions'!$B$12&lt;&gt;"",'Questions'!$G$12="WIZ2"),'Questions'!$B$12&amp;" (question on "&amp;IF('Questions'!$C$12="Portrait","portrait","landscape")&amp;" screen)","")</f>
        <v/>
      </c>
      <c r="E25" s="12">
        <f>IF(AND('Questions'!$B$12&lt;&gt;"",'Questions'!$G$12="WIZ2"),'Questions'!$I$12,"")</f>
        <v/>
      </c>
      <c r="F25" s="12">
        <f>IF(AND('Questions'!$B$12&lt;&gt;"",'Questions'!$G$12="WIZ2"),TEXT(32*0+'Questions'!$E$12,"000")&amp;".mp4","")</f>
        <v/>
      </c>
      <c r="G25" s="12">
        <f>IF(AND('Questions'!$B$12&lt;&gt;"",'Questions'!$G$12="WIZ2"),TEXT(32*1+'Questions'!$E$12,"000")&amp;".mp4","")</f>
        <v/>
      </c>
      <c r="H25" s="12">
        <f>IF(AND('Questions'!$B$12&lt;&gt;"",'Questions'!$G$12="WIZ2"),TEXT(32*2+'Questions'!$E$12,"000")&amp;".mp4","")</f>
        <v/>
      </c>
      <c r="I25" s="12">
        <f>IF(AND('Questions'!$B$12&lt;&gt;"",'Questions'!$G$12="WIZ2"),TEXT(32*3+'Questions'!$E$12,"000")&amp;".mp4","")</f>
        <v/>
      </c>
    </row>
    <row r="26">
      <c r="A26" s="12">
        <f>IF(AND('Questions'!$B$12&lt;&gt;"",'Questions'!$H$12="WIZ2"),"Artwork Q"&amp;'Questions'!$A$12,"")</f>
        <v/>
      </c>
      <c r="B26" s="12">
        <f>IF(AND('Questions'!$B$12&lt;&gt;"",'Questions'!$H$12="WIZ2"),"Q"&amp;'Questions'!$A$12,"")</f>
        <v/>
      </c>
      <c r="C26" s="12">
        <f>IF(AND('Questions'!$B$12&lt;&gt;"",'Questions'!$H$12="WIZ2"),'Questions'!$F$12,"")</f>
        <v/>
      </c>
      <c r="D26" s="20">
        <f>IF(AND('Questions'!$B$12&lt;&gt;"",'Questions'!$H$12="WIZ2"),'Questions'!$B$12&amp;" (art on landscape screen)","")</f>
        <v/>
      </c>
      <c r="E26" s="12">
        <f>IF(AND('Questions'!$B$12&lt;&gt;"",'Questions'!$H$12="WIZ2"),'Questions'!$J$12,"")</f>
        <v/>
      </c>
      <c r="F26" s="12">
        <f>IF(AND('Questions'!$B$12&lt;&gt;"",'Questions'!$H$12="WIZ2"),TEXT('Questions'!$F$12,"000")&amp;".mp4","")</f>
        <v/>
      </c>
    </row>
    <row r="27">
      <c r="A27" s="12">
        <f>IF(AND('Questions'!$B$13&lt;&gt;"",'Questions'!$G$13="WIZ2"),"Question text Q"&amp;'Questions'!$A$13,"")</f>
        <v/>
      </c>
      <c r="B27" s="12">
        <f>IF(AND('Questions'!$B$13&lt;&gt;"",'Questions'!$G$13="WIZ2"),"Q"&amp;'Questions'!$A$13,"")</f>
        <v/>
      </c>
      <c r="C27" s="12">
        <f>IF(AND('Questions'!$B$13&lt;&gt;"",'Questions'!$G$13="WIZ2"),'Questions'!$E$13,"")</f>
        <v/>
      </c>
      <c r="D27" s="20">
        <f>IF(AND('Questions'!$B$13&lt;&gt;"",'Questions'!$G$13="WIZ2"),'Questions'!$B$13&amp;" (question on "&amp;IF('Questions'!$C$13="Portrait","portrait","landscape")&amp;" screen)","")</f>
        <v/>
      </c>
      <c r="E27" s="12">
        <f>IF(AND('Questions'!$B$13&lt;&gt;"",'Questions'!$G$13="WIZ2"),'Questions'!$I$13,"")</f>
        <v/>
      </c>
      <c r="F27" s="12">
        <f>IF(AND('Questions'!$B$13&lt;&gt;"",'Questions'!$G$13="WIZ2"),TEXT(32*0+'Questions'!$E$13,"000")&amp;".mp4","")</f>
        <v/>
      </c>
      <c r="G27" s="12">
        <f>IF(AND('Questions'!$B$13&lt;&gt;"",'Questions'!$G$13="WIZ2"),TEXT(32*1+'Questions'!$E$13,"000")&amp;".mp4","")</f>
        <v/>
      </c>
      <c r="H27" s="12">
        <f>IF(AND('Questions'!$B$13&lt;&gt;"",'Questions'!$G$13="WIZ2"),TEXT(32*2+'Questions'!$E$13,"000")&amp;".mp4","")</f>
        <v/>
      </c>
      <c r="I27" s="12">
        <f>IF(AND('Questions'!$B$13&lt;&gt;"",'Questions'!$G$13="WIZ2"),TEXT(32*3+'Questions'!$E$13,"000")&amp;".mp4","")</f>
        <v/>
      </c>
    </row>
    <row r="28">
      <c r="A28" s="12">
        <f>IF(AND('Questions'!$B$13&lt;&gt;"",'Questions'!$H$13="WIZ2"),"Artwork Q"&amp;'Questions'!$A$13,"")</f>
        <v/>
      </c>
      <c r="B28" s="12">
        <f>IF(AND('Questions'!$B$13&lt;&gt;"",'Questions'!$H$13="WIZ2"),"Q"&amp;'Questions'!$A$13,"")</f>
        <v/>
      </c>
      <c r="C28" s="12">
        <f>IF(AND('Questions'!$B$13&lt;&gt;"",'Questions'!$H$13="WIZ2"),'Questions'!$F$13,"")</f>
        <v/>
      </c>
      <c r="D28" s="20">
        <f>IF(AND('Questions'!$B$13&lt;&gt;"",'Questions'!$H$13="WIZ2"),'Questions'!$B$13&amp;" (art on landscape screen)","")</f>
        <v/>
      </c>
      <c r="E28" s="12">
        <f>IF(AND('Questions'!$B$13&lt;&gt;"",'Questions'!$H$13="WIZ2"),'Questions'!$J$13,"")</f>
        <v/>
      </c>
      <c r="F28" s="12">
        <f>IF(AND('Questions'!$B$13&lt;&gt;"",'Questions'!$H$13="WIZ2"),TEXT('Questions'!$F$13,"000")&amp;".mp4","")</f>
        <v/>
      </c>
    </row>
    <row r="29">
      <c r="A29" s="12">
        <f>IF(AND('Questions'!$B$14&lt;&gt;"",'Questions'!$G$14="WIZ2"),"Question text Q"&amp;'Questions'!$A$14,"")</f>
        <v/>
      </c>
      <c r="B29" s="12">
        <f>IF(AND('Questions'!$B$14&lt;&gt;"",'Questions'!$G$14="WIZ2"),"Q"&amp;'Questions'!$A$14,"")</f>
        <v/>
      </c>
      <c r="C29" s="12">
        <f>IF(AND('Questions'!$B$14&lt;&gt;"",'Questions'!$G$14="WIZ2"),'Questions'!$E$14,"")</f>
        <v/>
      </c>
      <c r="D29" s="20">
        <f>IF(AND('Questions'!$B$14&lt;&gt;"",'Questions'!$G$14="WIZ2"),'Questions'!$B$14&amp;" (question on "&amp;IF('Questions'!$C$14="Portrait","portrait","landscape")&amp;" screen)","")</f>
        <v/>
      </c>
      <c r="E29" s="12">
        <f>IF(AND('Questions'!$B$14&lt;&gt;"",'Questions'!$G$14="WIZ2"),'Questions'!$I$14,"")</f>
        <v/>
      </c>
      <c r="F29" s="12">
        <f>IF(AND('Questions'!$B$14&lt;&gt;"",'Questions'!$G$14="WIZ2"),TEXT(32*0+'Questions'!$E$14,"000")&amp;".mp4","")</f>
        <v/>
      </c>
      <c r="G29" s="12">
        <f>IF(AND('Questions'!$B$14&lt;&gt;"",'Questions'!$G$14="WIZ2"),TEXT(32*1+'Questions'!$E$14,"000")&amp;".mp4","")</f>
        <v/>
      </c>
      <c r="H29" s="12">
        <f>IF(AND('Questions'!$B$14&lt;&gt;"",'Questions'!$G$14="WIZ2"),TEXT(32*2+'Questions'!$E$14,"000")&amp;".mp4","")</f>
        <v/>
      </c>
      <c r="I29" s="12">
        <f>IF(AND('Questions'!$B$14&lt;&gt;"",'Questions'!$G$14="WIZ2"),TEXT(32*3+'Questions'!$E$14,"000")&amp;".mp4","")</f>
        <v/>
      </c>
    </row>
    <row r="30">
      <c r="A30" s="12">
        <f>IF(AND('Questions'!$B$14&lt;&gt;"",'Questions'!$H$14="WIZ2"),"Artwork Q"&amp;'Questions'!$A$14,"")</f>
        <v/>
      </c>
      <c r="B30" s="12">
        <f>IF(AND('Questions'!$B$14&lt;&gt;"",'Questions'!$H$14="WIZ2"),"Q"&amp;'Questions'!$A$14,"")</f>
        <v/>
      </c>
      <c r="C30" s="12">
        <f>IF(AND('Questions'!$B$14&lt;&gt;"",'Questions'!$H$14="WIZ2"),'Questions'!$F$14,"")</f>
        <v/>
      </c>
      <c r="D30" s="20">
        <f>IF(AND('Questions'!$B$14&lt;&gt;"",'Questions'!$H$14="WIZ2"),'Questions'!$B$14&amp;" (art on landscape screen)","")</f>
        <v/>
      </c>
      <c r="E30" s="12">
        <f>IF(AND('Questions'!$B$14&lt;&gt;"",'Questions'!$H$14="WIZ2"),'Questions'!$J$14,"")</f>
        <v/>
      </c>
      <c r="F30" s="12">
        <f>IF(AND('Questions'!$B$14&lt;&gt;"",'Questions'!$H$14="WIZ2"),TEXT('Questions'!$F$14,"000")&amp;".mp4","")</f>
        <v/>
      </c>
    </row>
    <row r="31">
      <c r="A31" s="12">
        <f>IF(AND('Questions'!$B$15&lt;&gt;"",'Questions'!$G$15="WIZ2"),"Question text Q"&amp;'Questions'!$A$15,"")</f>
        <v/>
      </c>
      <c r="B31" s="12">
        <f>IF(AND('Questions'!$B$15&lt;&gt;"",'Questions'!$G$15="WIZ2"),"Q"&amp;'Questions'!$A$15,"")</f>
        <v/>
      </c>
      <c r="C31" s="12">
        <f>IF(AND('Questions'!$B$15&lt;&gt;"",'Questions'!$G$15="WIZ2"),'Questions'!$E$15,"")</f>
        <v/>
      </c>
      <c r="D31" s="20">
        <f>IF(AND('Questions'!$B$15&lt;&gt;"",'Questions'!$G$15="WIZ2"),'Questions'!$B$15&amp;" (question on "&amp;IF('Questions'!$C$15="Portrait","portrait","landscape")&amp;" screen)","")</f>
        <v/>
      </c>
      <c r="E31" s="12">
        <f>IF(AND('Questions'!$B$15&lt;&gt;"",'Questions'!$G$15="WIZ2"),'Questions'!$I$15,"")</f>
        <v/>
      </c>
      <c r="F31" s="12">
        <f>IF(AND('Questions'!$B$15&lt;&gt;"",'Questions'!$G$15="WIZ2"),TEXT(32*0+'Questions'!$E$15,"000")&amp;".mp4","")</f>
        <v/>
      </c>
      <c r="G31" s="12">
        <f>IF(AND('Questions'!$B$15&lt;&gt;"",'Questions'!$G$15="WIZ2"),TEXT(32*1+'Questions'!$E$15,"000")&amp;".mp4","")</f>
        <v/>
      </c>
      <c r="H31" s="12">
        <f>IF(AND('Questions'!$B$15&lt;&gt;"",'Questions'!$G$15="WIZ2"),TEXT(32*2+'Questions'!$E$15,"000")&amp;".mp4","")</f>
        <v/>
      </c>
      <c r="I31" s="12">
        <f>IF(AND('Questions'!$B$15&lt;&gt;"",'Questions'!$G$15="WIZ2"),TEXT(32*3+'Questions'!$E$15,"000")&amp;".mp4","")</f>
        <v/>
      </c>
    </row>
    <row r="32">
      <c r="A32" s="12">
        <f>IF(AND('Questions'!$B$15&lt;&gt;"",'Questions'!$H$15="WIZ2"),"Artwork Q"&amp;'Questions'!$A$15,"")</f>
        <v/>
      </c>
      <c r="B32" s="12">
        <f>IF(AND('Questions'!$B$15&lt;&gt;"",'Questions'!$H$15="WIZ2"),"Q"&amp;'Questions'!$A$15,"")</f>
        <v/>
      </c>
      <c r="C32" s="12">
        <f>IF(AND('Questions'!$B$15&lt;&gt;"",'Questions'!$H$15="WIZ2"),'Questions'!$F$15,"")</f>
        <v/>
      </c>
      <c r="D32" s="20">
        <f>IF(AND('Questions'!$B$15&lt;&gt;"",'Questions'!$H$15="WIZ2"),'Questions'!$B$15&amp;" (art on landscape screen)","")</f>
        <v/>
      </c>
      <c r="E32" s="12">
        <f>IF(AND('Questions'!$B$15&lt;&gt;"",'Questions'!$H$15="WIZ2"),'Questions'!$J$15,"")</f>
        <v/>
      </c>
      <c r="F32" s="12">
        <f>IF(AND('Questions'!$B$15&lt;&gt;"",'Questions'!$H$15="WIZ2"),TEXT('Questions'!$F$15,"000")&amp;".mp4","")</f>
        <v/>
      </c>
    </row>
    <row r="33">
      <c r="A33" s="12">
        <f>IF(AND('Questions'!$B$16&lt;&gt;"",'Questions'!$G$16="WIZ2"),"Question text Q"&amp;'Questions'!$A$16,"")</f>
        <v/>
      </c>
      <c r="B33" s="12">
        <f>IF(AND('Questions'!$B$16&lt;&gt;"",'Questions'!$G$16="WIZ2"),"Q"&amp;'Questions'!$A$16,"")</f>
        <v/>
      </c>
      <c r="C33" s="12">
        <f>IF(AND('Questions'!$B$16&lt;&gt;"",'Questions'!$G$16="WIZ2"),'Questions'!$E$16,"")</f>
        <v/>
      </c>
      <c r="D33" s="20">
        <f>IF(AND('Questions'!$B$16&lt;&gt;"",'Questions'!$G$16="WIZ2"),'Questions'!$B$16&amp;" (question on "&amp;IF('Questions'!$C$16="Portrait","portrait","landscape")&amp;" screen)","")</f>
        <v/>
      </c>
      <c r="E33" s="12">
        <f>IF(AND('Questions'!$B$16&lt;&gt;"",'Questions'!$G$16="WIZ2"),'Questions'!$I$16,"")</f>
        <v/>
      </c>
      <c r="F33" s="12">
        <f>IF(AND('Questions'!$B$16&lt;&gt;"",'Questions'!$G$16="WIZ2"),TEXT(32*0+'Questions'!$E$16,"000")&amp;".mp4","")</f>
        <v/>
      </c>
      <c r="G33" s="12">
        <f>IF(AND('Questions'!$B$16&lt;&gt;"",'Questions'!$G$16="WIZ2"),TEXT(32*1+'Questions'!$E$16,"000")&amp;".mp4","")</f>
        <v/>
      </c>
      <c r="H33" s="12">
        <f>IF(AND('Questions'!$B$16&lt;&gt;"",'Questions'!$G$16="WIZ2"),TEXT(32*2+'Questions'!$E$16,"000")&amp;".mp4","")</f>
        <v/>
      </c>
      <c r="I33" s="12">
        <f>IF(AND('Questions'!$B$16&lt;&gt;"",'Questions'!$G$16="WIZ2"),TEXT(32*3+'Questions'!$E$16,"000")&amp;".mp4","")</f>
        <v/>
      </c>
    </row>
    <row r="34">
      <c r="A34" s="12">
        <f>IF(AND('Questions'!$B$16&lt;&gt;"",'Questions'!$H$16="WIZ2"),"Artwork Q"&amp;'Questions'!$A$16,"")</f>
        <v/>
      </c>
      <c r="B34" s="12">
        <f>IF(AND('Questions'!$B$16&lt;&gt;"",'Questions'!$H$16="WIZ2"),"Q"&amp;'Questions'!$A$16,"")</f>
        <v/>
      </c>
      <c r="C34" s="12">
        <f>IF(AND('Questions'!$B$16&lt;&gt;"",'Questions'!$H$16="WIZ2"),'Questions'!$F$16,"")</f>
        <v/>
      </c>
      <c r="D34" s="20">
        <f>IF(AND('Questions'!$B$16&lt;&gt;"",'Questions'!$H$16="WIZ2"),'Questions'!$B$16&amp;" (art on landscape screen)","")</f>
        <v/>
      </c>
      <c r="E34" s="12">
        <f>IF(AND('Questions'!$B$16&lt;&gt;"",'Questions'!$H$16="WIZ2"),'Questions'!$J$16,"")</f>
        <v/>
      </c>
      <c r="F34" s="12">
        <f>IF(AND('Questions'!$B$16&lt;&gt;"",'Questions'!$H$16="WIZ2"),TEXT('Questions'!$F$16,"000")&amp;".mp4","")</f>
        <v/>
      </c>
    </row>
    <row r="35">
      <c r="A35" s="12">
        <f>IF(AND('Questions'!$B$17&lt;&gt;"",'Questions'!$G$17="WIZ2"),"Question text Q"&amp;'Questions'!$A$17,"")</f>
        <v/>
      </c>
      <c r="B35" s="12">
        <f>IF(AND('Questions'!$B$17&lt;&gt;"",'Questions'!$G$17="WIZ2"),"Q"&amp;'Questions'!$A$17,"")</f>
        <v/>
      </c>
      <c r="C35" s="12">
        <f>IF(AND('Questions'!$B$17&lt;&gt;"",'Questions'!$G$17="WIZ2"),'Questions'!$E$17,"")</f>
        <v/>
      </c>
      <c r="D35" s="20">
        <f>IF(AND('Questions'!$B$17&lt;&gt;"",'Questions'!$G$17="WIZ2"),'Questions'!$B$17&amp;" (question on "&amp;IF('Questions'!$C$17="Portrait","portrait","landscape")&amp;" screen)","")</f>
        <v/>
      </c>
      <c r="E35" s="12">
        <f>IF(AND('Questions'!$B$17&lt;&gt;"",'Questions'!$G$17="WIZ2"),'Questions'!$I$17,"")</f>
        <v/>
      </c>
      <c r="F35" s="12">
        <f>IF(AND('Questions'!$B$17&lt;&gt;"",'Questions'!$G$17="WIZ2"),TEXT(32*0+'Questions'!$E$17,"000")&amp;".mp4","")</f>
        <v/>
      </c>
      <c r="G35" s="12">
        <f>IF(AND('Questions'!$B$17&lt;&gt;"",'Questions'!$G$17="WIZ2"),TEXT(32*1+'Questions'!$E$17,"000")&amp;".mp4","")</f>
        <v/>
      </c>
      <c r="H35" s="12">
        <f>IF(AND('Questions'!$B$17&lt;&gt;"",'Questions'!$G$17="WIZ2"),TEXT(32*2+'Questions'!$E$17,"000")&amp;".mp4","")</f>
        <v/>
      </c>
      <c r="I35" s="12">
        <f>IF(AND('Questions'!$B$17&lt;&gt;"",'Questions'!$G$17="WIZ2"),TEXT(32*3+'Questions'!$E$17,"000")&amp;".mp4","")</f>
        <v/>
      </c>
    </row>
    <row r="36">
      <c r="A36" s="12">
        <f>IF(AND('Questions'!$B$17&lt;&gt;"",'Questions'!$H$17="WIZ2"),"Artwork Q"&amp;'Questions'!$A$17,"")</f>
        <v/>
      </c>
      <c r="B36" s="12">
        <f>IF(AND('Questions'!$B$17&lt;&gt;"",'Questions'!$H$17="WIZ2"),"Q"&amp;'Questions'!$A$17,"")</f>
        <v/>
      </c>
      <c r="C36" s="12">
        <f>IF(AND('Questions'!$B$17&lt;&gt;"",'Questions'!$H$17="WIZ2"),'Questions'!$F$17,"")</f>
        <v/>
      </c>
      <c r="D36" s="20">
        <f>IF(AND('Questions'!$B$17&lt;&gt;"",'Questions'!$H$17="WIZ2"),'Questions'!$B$17&amp;" (art on landscape screen)","")</f>
        <v/>
      </c>
      <c r="E36" s="12">
        <f>IF(AND('Questions'!$B$17&lt;&gt;"",'Questions'!$H$17="WIZ2"),'Questions'!$J$17,"")</f>
        <v/>
      </c>
      <c r="F36" s="12">
        <f>IF(AND('Questions'!$B$17&lt;&gt;"",'Questions'!$H$17="WIZ2"),TEXT('Questions'!$F$17,"000")&amp;".mp4","")</f>
        <v/>
      </c>
    </row>
    <row r="37">
      <c r="A37" s="12">
        <f>IF(AND('Questions'!$B$18&lt;&gt;"",'Questions'!$G$18="WIZ2"),"Question text Q"&amp;'Questions'!$A$18,"")</f>
        <v/>
      </c>
      <c r="B37" s="12">
        <f>IF(AND('Questions'!$B$18&lt;&gt;"",'Questions'!$G$18="WIZ2"),"Q"&amp;'Questions'!$A$18,"")</f>
        <v/>
      </c>
      <c r="C37" s="12">
        <f>IF(AND('Questions'!$B$18&lt;&gt;"",'Questions'!$G$18="WIZ2"),'Questions'!$E$18,"")</f>
        <v/>
      </c>
      <c r="D37" s="20">
        <f>IF(AND('Questions'!$B$18&lt;&gt;"",'Questions'!$G$18="WIZ2"),'Questions'!$B$18&amp;" (question on "&amp;IF('Questions'!$C$18="Portrait","portrait","landscape")&amp;" screen)","")</f>
        <v/>
      </c>
      <c r="E37" s="12">
        <f>IF(AND('Questions'!$B$18&lt;&gt;"",'Questions'!$G$18="WIZ2"),'Questions'!$I$18,"")</f>
        <v/>
      </c>
      <c r="F37" s="12">
        <f>IF(AND('Questions'!$B$18&lt;&gt;"",'Questions'!$G$18="WIZ2"),TEXT(32*0+'Questions'!$E$18,"000")&amp;".mp4","")</f>
        <v/>
      </c>
      <c r="G37" s="12">
        <f>IF(AND('Questions'!$B$18&lt;&gt;"",'Questions'!$G$18="WIZ2"),TEXT(32*1+'Questions'!$E$18,"000")&amp;".mp4","")</f>
        <v/>
      </c>
      <c r="H37" s="12">
        <f>IF(AND('Questions'!$B$18&lt;&gt;"",'Questions'!$G$18="WIZ2"),TEXT(32*2+'Questions'!$E$18,"000")&amp;".mp4","")</f>
        <v/>
      </c>
      <c r="I37" s="12">
        <f>IF(AND('Questions'!$B$18&lt;&gt;"",'Questions'!$G$18="WIZ2"),TEXT(32*3+'Questions'!$E$18,"000")&amp;".mp4","")</f>
        <v/>
      </c>
    </row>
    <row r="38">
      <c r="A38" s="12">
        <f>IF(AND('Questions'!$B$18&lt;&gt;"",'Questions'!$H$18="WIZ2"),"Artwork Q"&amp;'Questions'!$A$18,"")</f>
        <v/>
      </c>
      <c r="B38" s="12">
        <f>IF(AND('Questions'!$B$18&lt;&gt;"",'Questions'!$H$18="WIZ2"),"Q"&amp;'Questions'!$A$18,"")</f>
        <v/>
      </c>
      <c r="C38" s="12">
        <f>IF(AND('Questions'!$B$18&lt;&gt;"",'Questions'!$H$18="WIZ2"),'Questions'!$F$18,"")</f>
        <v/>
      </c>
      <c r="D38" s="20">
        <f>IF(AND('Questions'!$B$18&lt;&gt;"",'Questions'!$H$18="WIZ2"),'Questions'!$B$18&amp;" (art on landscape screen)","")</f>
        <v/>
      </c>
      <c r="E38" s="12">
        <f>IF(AND('Questions'!$B$18&lt;&gt;"",'Questions'!$H$18="WIZ2"),'Questions'!$J$18,"")</f>
        <v/>
      </c>
      <c r="F38" s="12">
        <f>IF(AND('Questions'!$B$18&lt;&gt;"",'Questions'!$H$18="WIZ2"),TEXT('Questions'!$F$18,"000")&amp;".mp4","")</f>
        <v/>
      </c>
    </row>
    <row r="39">
      <c r="A39" s="12">
        <f>IF(AND('Questions'!$B$19&lt;&gt;"",'Questions'!$G$19="WIZ2"),"Question text Q"&amp;'Questions'!$A$19,"")</f>
        <v/>
      </c>
      <c r="B39" s="12">
        <f>IF(AND('Questions'!$B$19&lt;&gt;"",'Questions'!$G$19="WIZ2"),"Q"&amp;'Questions'!$A$19,"")</f>
        <v/>
      </c>
      <c r="C39" s="12">
        <f>IF(AND('Questions'!$B$19&lt;&gt;"",'Questions'!$G$19="WIZ2"),'Questions'!$E$19,"")</f>
        <v/>
      </c>
      <c r="D39" s="20">
        <f>IF(AND('Questions'!$B$19&lt;&gt;"",'Questions'!$G$19="WIZ2"),'Questions'!$B$19&amp;" (question on "&amp;IF('Questions'!$C$19="Portrait","portrait","landscape")&amp;" screen)","")</f>
        <v/>
      </c>
      <c r="E39" s="12">
        <f>IF(AND('Questions'!$B$19&lt;&gt;"",'Questions'!$G$19="WIZ2"),'Questions'!$I$19,"")</f>
        <v/>
      </c>
      <c r="F39" s="12">
        <f>IF(AND('Questions'!$B$19&lt;&gt;"",'Questions'!$G$19="WIZ2"),TEXT(32*0+'Questions'!$E$19,"000")&amp;".mp4","")</f>
        <v/>
      </c>
      <c r="G39" s="12">
        <f>IF(AND('Questions'!$B$19&lt;&gt;"",'Questions'!$G$19="WIZ2"),TEXT(32*1+'Questions'!$E$19,"000")&amp;".mp4","")</f>
        <v/>
      </c>
      <c r="H39" s="12">
        <f>IF(AND('Questions'!$B$19&lt;&gt;"",'Questions'!$G$19="WIZ2"),TEXT(32*2+'Questions'!$E$19,"000")&amp;".mp4","")</f>
        <v/>
      </c>
      <c r="I39" s="12">
        <f>IF(AND('Questions'!$B$19&lt;&gt;"",'Questions'!$G$19="WIZ2"),TEXT(32*3+'Questions'!$E$19,"000")&amp;".mp4","")</f>
        <v/>
      </c>
    </row>
    <row r="40">
      <c r="A40" s="12">
        <f>IF(AND('Questions'!$B$19&lt;&gt;"",'Questions'!$H$19="WIZ2"),"Artwork Q"&amp;'Questions'!$A$19,"")</f>
        <v/>
      </c>
      <c r="B40" s="12">
        <f>IF(AND('Questions'!$B$19&lt;&gt;"",'Questions'!$H$19="WIZ2"),"Q"&amp;'Questions'!$A$19,"")</f>
        <v/>
      </c>
      <c r="C40" s="12">
        <f>IF(AND('Questions'!$B$19&lt;&gt;"",'Questions'!$H$19="WIZ2"),'Questions'!$F$19,"")</f>
        <v/>
      </c>
      <c r="D40" s="20">
        <f>IF(AND('Questions'!$B$19&lt;&gt;"",'Questions'!$H$19="WIZ2"),'Questions'!$B$19&amp;" (art on landscape screen)","")</f>
        <v/>
      </c>
      <c r="E40" s="12">
        <f>IF(AND('Questions'!$B$19&lt;&gt;"",'Questions'!$H$19="WIZ2"),'Questions'!$J$19,"")</f>
        <v/>
      </c>
      <c r="F40" s="12">
        <f>IF(AND('Questions'!$B$19&lt;&gt;"",'Questions'!$H$19="WIZ2"),TEXT('Questions'!$F$19,"000")&amp;".mp4","")</f>
        <v/>
      </c>
    </row>
    <row r="41">
      <c r="A41" s="12">
        <f>IF(AND('Questions'!$B$20&lt;&gt;"",'Questions'!$G$20="WIZ2"),"Question text Q"&amp;'Questions'!$A$20,"")</f>
        <v/>
      </c>
      <c r="B41" s="12">
        <f>IF(AND('Questions'!$B$20&lt;&gt;"",'Questions'!$G$20="WIZ2"),"Q"&amp;'Questions'!$A$20,"")</f>
        <v/>
      </c>
      <c r="C41" s="12">
        <f>IF(AND('Questions'!$B$20&lt;&gt;"",'Questions'!$G$20="WIZ2"),'Questions'!$E$20,"")</f>
        <v/>
      </c>
      <c r="D41" s="20">
        <f>IF(AND('Questions'!$B$20&lt;&gt;"",'Questions'!$G$20="WIZ2"),'Questions'!$B$20&amp;" (question on "&amp;IF('Questions'!$C$20="Portrait","portrait","landscape")&amp;" screen)","")</f>
        <v/>
      </c>
      <c r="E41" s="12">
        <f>IF(AND('Questions'!$B$20&lt;&gt;"",'Questions'!$G$20="WIZ2"),'Questions'!$I$20,"")</f>
        <v/>
      </c>
      <c r="F41" s="12">
        <f>IF(AND('Questions'!$B$20&lt;&gt;"",'Questions'!$G$20="WIZ2"),TEXT(32*0+'Questions'!$E$20,"000")&amp;".mp4","")</f>
        <v/>
      </c>
      <c r="G41" s="12">
        <f>IF(AND('Questions'!$B$20&lt;&gt;"",'Questions'!$G$20="WIZ2"),TEXT(32*1+'Questions'!$E$20,"000")&amp;".mp4","")</f>
        <v/>
      </c>
      <c r="H41" s="12">
        <f>IF(AND('Questions'!$B$20&lt;&gt;"",'Questions'!$G$20="WIZ2"),TEXT(32*2+'Questions'!$E$20,"000")&amp;".mp4","")</f>
        <v/>
      </c>
      <c r="I41" s="12">
        <f>IF(AND('Questions'!$B$20&lt;&gt;"",'Questions'!$G$20="WIZ2"),TEXT(32*3+'Questions'!$E$20,"000")&amp;".mp4","")</f>
        <v/>
      </c>
    </row>
    <row r="42">
      <c r="A42" s="12">
        <f>IF(AND('Questions'!$B$20&lt;&gt;"",'Questions'!$H$20="WIZ2"),"Artwork Q"&amp;'Questions'!$A$20,"")</f>
        <v/>
      </c>
      <c r="B42" s="12">
        <f>IF(AND('Questions'!$B$20&lt;&gt;"",'Questions'!$H$20="WIZ2"),"Q"&amp;'Questions'!$A$20,"")</f>
        <v/>
      </c>
      <c r="C42" s="12">
        <f>IF(AND('Questions'!$B$20&lt;&gt;"",'Questions'!$H$20="WIZ2"),'Questions'!$F$20,"")</f>
        <v/>
      </c>
      <c r="D42" s="20">
        <f>IF(AND('Questions'!$B$20&lt;&gt;"",'Questions'!$H$20="WIZ2"),'Questions'!$B$20&amp;" (art on landscape screen)","")</f>
        <v/>
      </c>
      <c r="E42" s="12">
        <f>IF(AND('Questions'!$B$20&lt;&gt;"",'Questions'!$H$20="WIZ2"),'Questions'!$J$20,"")</f>
        <v/>
      </c>
      <c r="F42" s="12">
        <f>IF(AND('Questions'!$B$20&lt;&gt;"",'Questions'!$H$20="WIZ2"),TEXT('Questions'!$F$20,"000")&amp;".mp4","")</f>
        <v/>
      </c>
    </row>
    <row r="43">
      <c r="A43" s="12">
        <f>IF(AND('Questions'!$B$21&lt;&gt;"",'Questions'!$G$21="WIZ2"),"Question text Q"&amp;'Questions'!$A$21,"")</f>
        <v/>
      </c>
      <c r="B43" s="12">
        <f>IF(AND('Questions'!$B$21&lt;&gt;"",'Questions'!$G$21="WIZ2"),"Q"&amp;'Questions'!$A$21,"")</f>
        <v/>
      </c>
      <c r="C43" s="12">
        <f>IF(AND('Questions'!$B$21&lt;&gt;"",'Questions'!$G$21="WIZ2"),'Questions'!$E$21,"")</f>
        <v/>
      </c>
      <c r="D43" s="20">
        <f>IF(AND('Questions'!$B$21&lt;&gt;"",'Questions'!$G$21="WIZ2"),'Questions'!$B$21&amp;" (question on "&amp;IF('Questions'!$C$21="Portrait","portrait","landscape")&amp;" screen)","")</f>
        <v/>
      </c>
      <c r="E43" s="12">
        <f>IF(AND('Questions'!$B$21&lt;&gt;"",'Questions'!$G$21="WIZ2"),'Questions'!$I$21,"")</f>
        <v/>
      </c>
      <c r="F43" s="12">
        <f>IF(AND('Questions'!$B$21&lt;&gt;"",'Questions'!$G$21="WIZ2"),TEXT(32*0+'Questions'!$E$21,"000")&amp;".mp4","")</f>
        <v/>
      </c>
      <c r="G43" s="12">
        <f>IF(AND('Questions'!$B$21&lt;&gt;"",'Questions'!$G$21="WIZ2"),TEXT(32*1+'Questions'!$E$21,"000")&amp;".mp4","")</f>
        <v/>
      </c>
      <c r="H43" s="12">
        <f>IF(AND('Questions'!$B$21&lt;&gt;"",'Questions'!$G$21="WIZ2"),TEXT(32*2+'Questions'!$E$21,"000")&amp;".mp4","")</f>
        <v/>
      </c>
      <c r="I43" s="12">
        <f>IF(AND('Questions'!$B$21&lt;&gt;"",'Questions'!$G$21="WIZ2"),TEXT(32*3+'Questions'!$E$21,"000")&amp;".mp4","")</f>
        <v/>
      </c>
    </row>
    <row r="44">
      <c r="A44" s="12">
        <f>IF(AND('Questions'!$B$21&lt;&gt;"",'Questions'!$H$21="WIZ2"),"Artwork Q"&amp;'Questions'!$A$21,"")</f>
        <v/>
      </c>
      <c r="B44" s="12">
        <f>IF(AND('Questions'!$B$21&lt;&gt;"",'Questions'!$H$21="WIZ2"),"Q"&amp;'Questions'!$A$21,"")</f>
        <v/>
      </c>
      <c r="C44" s="12">
        <f>IF(AND('Questions'!$B$21&lt;&gt;"",'Questions'!$H$21="WIZ2"),'Questions'!$F$21,"")</f>
        <v/>
      </c>
      <c r="D44" s="20">
        <f>IF(AND('Questions'!$B$21&lt;&gt;"",'Questions'!$H$21="WIZ2"),'Questions'!$B$21&amp;" (art on landscape screen)","")</f>
        <v/>
      </c>
      <c r="E44" s="12">
        <f>IF(AND('Questions'!$B$21&lt;&gt;"",'Questions'!$H$21="WIZ2"),'Questions'!$J$21,"")</f>
        <v/>
      </c>
      <c r="F44" s="12">
        <f>IF(AND('Questions'!$B$21&lt;&gt;"",'Questions'!$H$21="WIZ2"),TEXT('Questions'!$F$21,"000")&amp;".mp4","")</f>
        <v/>
      </c>
    </row>
    <row r="45">
      <c r="A45" s="12">
        <f>IF(AND('Questions'!$B$22&lt;&gt;"",'Questions'!$G$22="WIZ2"),"Question text Q"&amp;'Questions'!$A$22,"")</f>
        <v/>
      </c>
      <c r="B45" s="12">
        <f>IF(AND('Questions'!$B$22&lt;&gt;"",'Questions'!$G$22="WIZ2"),"Q"&amp;'Questions'!$A$22,"")</f>
        <v/>
      </c>
      <c r="C45" s="12">
        <f>IF(AND('Questions'!$B$22&lt;&gt;"",'Questions'!$G$22="WIZ2"),'Questions'!$E$22,"")</f>
        <v/>
      </c>
      <c r="D45" s="20">
        <f>IF(AND('Questions'!$B$22&lt;&gt;"",'Questions'!$G$22="WIZ2"),'Questions'!$B$22&amp;" (question on "&amp;IF('Questions'!$C$22="Portrait","portrait","landscape")&amp;" screen)","")</f>
        <v/>
      </c>
      <c r="E45" s="12">
        <f>IF(AND('Questions'!$B$22&lt;&gt;"",'Questions'!$G$22="WIZ2"),'Questions'!$I$22,"")</f>
        <v/>
      </c>
      <c r="F45" s="12">
        <f>IF(AND('Questions'!$B$22&lt;&gt;"",'Questions'!$G$22="WIZ2"),TEXT(32*0+'Questions'!$E$22,"000")&amp;".mp4","")</f>
        <v/>
      </c>
      <c r="G45" s="12">
        <f>IF(AND('Questions'!$B$22&lt;&gt;"",'Questions'!$G$22="WIZ2"),TEXT(32*1+'Questions'!$E$22,"000")&amp;".mp4","")</f>
        <v/>
      </c>
      <c r="H45" s="12">
        <f>IF(AND('Questions'!$B$22&lt;&gt;"",'Questions'!$G$22="WIZ2"),TEXT(32*2+'Questions'!$E$22,"000")&amp;".mp4","")</f>
        <v/>
      </c>
      <c r="I45" s="12">
        <f>IF(AND('Questions'!$B$22&lt;&gt;"",'Questions'!$G$22="WIZ2"),TEXT(32*3+'Questions'!$E$22,"000")&amp;".mp4","")</f>
        <v/>
      </c>
    </row>
    <row r="46">
      <c r="A46" s="12">
        <f>IF(AND('Questions'!$B$22&lt;&gt;"",'Questions'!$H$22="WIZ2"),"Artwork Q"&amp;'Questions'!$A$22,"")</f>
        <v/>
      </c>
      <c r="B46" s="12">
        <f>IF(AND('Questions'!$B$22&lt;&gt;"",'Questions'!$H$22="WIZ2"),"Q"&amp;'Questions'!$A$22,"")</f>
        <v/>
      </c>
      <c r="C46" s="12">
        <f>IF(AND('Questions'!$B$22&lt;&gt;"",'Questions'!$H$22="WIZ2"),'Questions'!$F$22,"")</f>
        <v/>
      </c>
      <c r="D46" s="20">
        <f>IF(AND('Questions'!$B$22&lt;&gt;"",'Questions'!$H$22="WIZ2"),'Questions'!$B$22&amp;" (art on landscape screen)","")</f>
        <v/>
      </c>
      <c r="E46" s="12">
        <f>IF(AND('Questions'!$B$22&lt;&gt;"",'Questions'!$H$22="WIZ2"),'Questions'!$J$22,"")</f>
        <v/>
      </c>
      <c r="F46" s="12">
        <f>IF(AND('Questions'!$B$22&lt;&gt;"",'Questions'!$H$22="WIZ2"),TEXT('Questions'!$F$22,"000")&amp;".mp4","")</f>
        <v/>
      </c>
    </row>
    <row r="47">
      <c r="A47" s="12">
        <f>IF(AND('Questions'!$B$23&lt;&gt;"",'Questions'!$G$23="WIZ2"),"Question text Q"&amp;'Questions'!$A$23,"")</f>
        <v/>
      </c>
      <c r="B47" s="12">
        <f>IF(AND('Questions'!$B$23&lt;&gt;"",'Questions'!$G$23="WIZ2"),"Q"&amp;'Questions'!$A$23,"")</f>
        <v/>
      </c>
      <c r="C47" s="12">
        <f>IF(AND('Questions'!$B$23&lt;&gt;"",'Questions'!$G$23="WIZ2"),'Questions'!$E$23,"")</f>
        <v/>
      </c>
      <c r="D47" s="20">
        <f>IF(AND('Questions'!$B$23&lt;&gt;"",'Questions'!$G$23="WIZ2"),'Questions'!$B$23&amp;" (question on "&amp;IF('Questions'!$C$23="Portrait","portrait","landscape")&amp;" screen)","")</f>
        <v/>
      </c>
      <c r="E47" s="12">
        <f>IF(AND('Questions'!$B$23&lt;&gt;"",'Questions'!$G$23="WIZ2"),'Questions'!$I$23,"")</f>
        <v/>
      </c>
      <c r="F47" s="12">
        <f>IF(AND('Questions'!$B$23&lt;&gt;"",'Questions'!$G$23="WIZ2"),TEXT(32*0+'Questions'!$E$23,"000")&amp;".mp4","")</f>
        <v/>
      </c>
      <c r="G47" s="12">
        <f>IF(AND('Questions'!$B$23&lt;&gt;"",'Questions'!$G$23="WIZ2"),TEXT(32*1+'Questions'!$E$23,"000")&amp;".mp4","")</f>
        <v/>
      </c>
      <c r="H47" s="12">
        <f>IF(AND('Questions'!$B$23&lt;&gt;"",'Questions'!$G$23="WIZ2"),TEXT(32*2+'Questions'!$E$23,"000")&amp;".mp4","")</f>
        <v/>
      </c>
      <c r="I47" s="12">
        <f>IF(AND('Questions'!$B$23&lt;&gt;"",'Questions'!$G$23="WIZ2"),TEXT(32*3+'Questions'!$E$23,"000")&amp;".mp4","")</f>
        <v/>
      </c>
    </row>
    <row r="48">
      <c r="A48" s="12">
        <f>IF(AND('Questions'!$B$23&lt;&gt;"",'Questions'!$H$23="WIZ2"),"Artwork Q"&amp;'Questions'!$A$23,"")</f>
        <v/>
      </c>
      <c r="B48" s="12">
        <f>IF(AND('Questions'!$B$23&lt;&gt;"",'Questions'!$H$23="WIZ2"),"Q"&amp;'Questions'!$A$23,"")</f>
        <v/>
      </c>
      <c r="C48" s="12">
        <f>IF(AND('Questions'!$B$23&lt;&gt;"",'Questions'!$H$23="WIZ2"),'Questions'!$F$23,"")</f>
        <v/>
      </c>
      <c r="D48" s="20">
        <f>IF(AND('Questions'!$B$23&lt;&gt;"",'Questions'!$H$23="WIZ2"),'Questions'!$B$23&amp;" (art on landscape screen)","")</f>
        <v/>
      </c>
      <c r="E48" s="12">
        <f>IF(AND('Questions'!$B$23&lt;&gt;"",'Questions'!$H$23="WIZ2"),'Questions'!$J$23,"")</f>
        <v/>
      </c>
      <c r="F48" s="12">
        <f>IF(AND('Questions'!$B$23&lt;&gt;"",'Questions'!$H$23="WIZ2"),TEXT('Questions'!$F$23,"000")&amp;".mp4","")</f>
        <v/>
      </c>
    </row>
    <row r="49">
      <c r="A49" s="12">
        <f>IF(AND('Questions'!$B$24&lt;&gt;"",'Questions'!$G$24="WIZ2"),"Question text Q"&amp;'Questions'!$A$24,"")</f>
        <v/>
      </c>
      <c r="B49" s="12">
        <f>IF(AND('Questions'!$B$24&lt;&gt;"",'Questions'!$G$24="WIZ2"),"Q"&amp;'Questions'!$A$24,"")</f>
        <v/>
      </c>
      <c r="C49" s="12">
        <f>IF(AND('Questions'!$B$24&lt;&gt;"",'Questions'!$G$24="WIZ2"),'Questions'!$E$24,"")</f>
        <v/>
      </c>
      <c r="D49" s="20">
        <f>IF(AND('Questions'!$B$24&lt;&gt;"",'Questions'!$G$24="WIZ2"),'Questions'!$B$24&amp;" (question on "&amp;IF('Questions'!$C$24="Portrait","portrait","landscape")&amp;" screen)","")</f>
        <v/>
      </c>
      <c r="E49" s="12">
        <f>IF(AND('Questions'!$B$24&lt;&gt;"",'Questions'!$G$24="WIZ2"),'Questions'!$I$24,"")</f>
        <v/>
      </c>
      <c r="F49" s="12">
        <f>IF(AND('Questions'!$B$24&lt;&gt;"",'Questions'!$G$24="WIZ2"),TEXT(32*0+'Questions'!$E$24,"000")&amp;".mp4","")</f>
        <v/>
      </c>
      <c r="G49" s="12">
        <f>IF(AND('Questions'!$B$24&lt;&gt;"",'Questions'!$G$24="WIZ2"),TEXT(32*1+'Questions'!$E$24,"000")&amp;".mp4","")</f>
        <v/>
      </c>
      <c r="H49" s="12">
        <f>IF(AND('Questions'!$B$24&lt;&gt;"",'Questions'!$G$24="WIZ2"),TEXT(32*2+'Questions'!$E$24,"000")&amp;".mp4","")</f>
        <v/>
      </c>
      <c r="I49" s="12">
        <f>IF(AND('Questions'!$B$24&lt;&gt;"",'Questions'!$G$24="WIZ2"),TEXT(32*3+'Questions'!$E$24,"000")&amp;".mp4","")</f>
        <v/>
      </c>
    </row>
    <row r="50">
      <c r="A50" s="12">
        <f>IF(AND('Questions'!$B$24&lt;&gt;"",'Questions'!$H$24="WIZ2"),"Artwork Q"&amp;'Questions'!$A$24,"")</f>
        <v/>
      </c>
      <c r="B50" s="12">
        <f>IF(AND('Questions'!$B$24&lt;&gt;"",'Questions'!$H$24="WIZ2"),"Q"&amp;'Questions'!$A$24,"")</f>
        <v/>
      </c>
      <c r="C50" s="12">
        <f>IF(AND('Questions'!$B$24&lt;&gt;"",'Questions'!$H$24="WIZ2"),'Questions'!$F$24,"")</f>
        <v/>
      </c>
      <c r="D50" s="20">
        <f>IF(AND('Questions'!$B$24&lt;&gt;"",'Questions'!$H$24="WIZ2"),'Questions'!$B$24&amp;" (art on landscape screen)","")</f>
        <v/>
      </c>
      <c r="E50" s="12">
        <f>IF(AND('Questions'!$B$24&lt;&gt;"",'Questions'!$H$24="WIZ2"),'Questions'!$J$24,"")</f>
        <v/>
      </c>
      <c r="F50" s="12">
        <f>IF(AND('Questions'!$B$24&lt;&gt;"",'Questions'!$H$24="WIZ2"),TEXT('Questions'!$F$24,"000")&amp;".mp4","")</f>
        <v/>
      </c>
    </row>
    <row r="51">
      <c r="A51" s="12">
        <f>IF(AND('Questions'!$B$25&lt;&gt;"",'Questions'!$G$25="WIZ2"),"Question text Q"&amp;'Questions'!$A$25,"")</f>
        <v/>
      </c>
      <c r="B51" s="12">
        <f>IF(AND('Questions'!$B$25&lt;&gt;"",'Questions'!$G$25="WIZ2"),"Q"&amp;'Questions'!$A$25,"")</f>
        <v/>
      </c>
      <c r="C51" s="12">
        <f>IF(AND('Questions'!$B$25&lt;&gt;"",'Questions'!$G$25="WIZ2"),'Questions'!$E$25,"")</f>
        <v/>
      </c>
      <c r="D51" s="20">
        <f>IF(AND('Questions'!$B$25&lt;&gt;"",'Questions'!$G$25="WIZ2"),'Questions'!$B$25&amp;" (question on "&amp;IF('Questions'!$C$25="Portrait","portrait","landscape")&amp;" screen)","")</f>
        <v/>
      </c>
      <c r="E51" s="12">
        <f>IF(AND('Questions'!$B$25&lt;&gt;"",'Questions'!$G$25="WIZ2"),'Questions'!$I$25,"")</f>
        <v/>
      </c>
      <c r="F51" s="12">
        <f>IF(AND('Questions'!$B$25&lt;&gt;"",'Questions'!$G$25="WIZ2"),TEXT(32*0+'Questions'!$E$25,"000")&amp;".mp4","")</f>
        <v/>
      </c>
      <c r="G51" s="12">
        <f>IF(AND('Questions'!$B$25&lt;&gt;"",'Questions'!$G$25="WIZ2"),TEXT(32*1+'Questions'!$E$25,"000")&amp;".mp4","")</f>
        <v/>
      </c>
      <c r="H51" s="12">
        <f>IF(AND('Questions'!$B$25&lt;&gt;"",'Questions'!$G$25="WIZ2"),TEXT(32*2+'Questions'!$E$25,"000")&amp;".mp4","")</f>
        <v/>
      </c>
      <c r="I51" s="12">
        <f>IF(AND('Questions'!$B$25&lt;&gt;"",'Questions'!$G$25="WIZ2"),TEXT(32*3+'Questions'!$E$25,"000")&amp;".mp4","")</f>
        <v/>
      </c>
    </row>
    <row r="52">
      <c r="A52" s="12">
        <f>IF(AND('Questions'!$B$25&lt;&gt;"",'Questions'!$H$25="WIZ2"),"Artwork Q"&amp;'Questions'!$A$25,"")</f>
        <v/>
      </c>
      <c r="B52" s="12">
        <f>IF(AND('Questions'!$B$25&lt;&gt;"",'Questions'!$H$25="WIZ2"),"Q"&amp;'Questions'!$A$25,"")</f>
        <v/>
      </c>
      <c r="C52" s="12">
        <f>IF(AND('Questions'!$B$25&lt;&gt;"",'Questions'!$H$25="WIZ2"),'Questions'!$F$25,"")</f>
        <v/>
      </c>
      <c r="D52" s="20">
        <f>IF(AND('Questions'!$B$25&lt;&gt;"",'Questions'!$H$25="WIZ2"),'Questions'!$B$25&amp;" (art on landscape screen)","")</f>
        <v/>
      </c>
      <c r="E52" s="12">
        <f>IF(AND('Questions'!$B$25&lt;&gt;"",'Questions'!$H$25="WIZ2"),'Questions'!$J$25,"")</f>
        <v/>
      </c>
      <c r="F52" s="12">
        <f>IF(AND('Questions'!$B$25&lt;&gt;"",'Questions'!$H$25="WIZ2"),TEXT('Questions'!$F$25,"000")&amp;".mp4","")</f>
        <v/>
      </c>
    </row>
    <row r="53">
      <c r="A53" s="12">
        <f>IF(AND('Questions'!$B$26&lt;&gt;"",'Questions'!$G$26="WIZ2"),"Question text Q"&amp;'Questions'!$A$26,"")</f>
        <v/>
      </c>
      <c r="B53" s="12">
        <f>IF(AND('Questions'!$B$26&lt;&gt;"",'Questions'!$G$26="WIZ2"),"Q"&amp;'Questions'!$A$26,"")</f>
        <v/>
      </c>
      <c r="C53" s="12">
        <f>IF(AND('Questions'!$B$26&lt;&gt;"",'Questions'!$G$26="WIZ2"),'Questions'!$E$26,"")</f>
        <v/>
      </c>
      <c r="D53" s="20">
        <f>IF(AND('Questions'!$B$26&lt;&gt;"",'Questions'!$G$26="WIZ2"),'Questions'!$B$26&amp;" (question on "&amp;IF('Questions'!$C$26="Portrait","portrait","landscape")&amp;" screen)","")</f>
        <v/>
      </c>
      <c r="E53" s="12">
        <f>IF(AND('Questions'!$B$26&lt;&gt;"",'Questions'!$G$26="WIZ2"),'Questions'!$I$26,"")</f>
        <v/>
      </c>
      <c r="F53" s="12">
        <f>IF(AND('Questions'!$B$26&lt;&gt;"",'Questions'!$G$26="WIZ2"),TEXT(32*0+'Questions'!$E$26,"000")&amp;".mp4","")</f>
        <v/>
      </c>
      <c r="G53" s="12">
        <f>IF(AND('Questions'!$B$26&lt;&gt;"",'Questions'!$G$26="WIZ2"),TEXT(32*1+'Questions'!$E$26,"000")&amp;".mp4","")</f>
        <v/>
      </c>
      <c r="H53" s="12">
        <f>IF(AND('Questions'!$B$26&lt;&gt;"",'Questions'!$G$26="WIZ2"),TEXT(32*2+'Questions'!$E$26,"000")&amp;".mp4","")</f>
        <v/>
      </c>
      <c r="I53" s="12">
        <f>IF(AND('Questions'!$B$26&lt;&gt;"",'Questions'!$G$26="WIZ2"),TEXT(32*3+'Questions'!$E$26,"000")&amp;".mp4","")</f>
        <v/>
      </c>
    </row>
    <row r="54">
      <c r="A54" s="12">
        <f>IF(AND('Questions'!$B$26&lt;&gt;"",'Questions'!$H$26="WIZ2"),"Artwork Q"&amp;'Questions'!$A$26,"")</f>
        <v/>
      </c>
      <c r="B54" s="12">
        <f>IF(AND('Questions'!$B$26&lt;&gt;"",'Questions'!$H$26="WIZ2"),"Q"&amp;'Questions'!$A$26,"")</f>
        <v/>
      </c>
      <c r="C54" s="12">
        <f>IF(AND('Questions'!$B$26&lt;&gt;"",'Questions'!$H$26="WIZ2"),'Questions'!$F$26,"")</f>
        <v/>
      </c>
      <c r="D54" s="20">
        <f>IF(AND('Questions'!$B$26&lt;&gt;"",'Questions'!$H$26="WIZ2"),'Questions'!$B$26&amp;" (art on landscape screen)","")</f>
        <v/>
      </c>
      <c r="E54" s="12">
        <f>IF(AND('Questions'!$B$26&lt;&gt;"",'Questions'!$H$26="WIZ2"),'Questions'!$J$26,"")</f>
        <v/>
      </c>
      <c r="F54" s="12">
        <f>IF(AND('Questions'!$B$26&lt;&gt;"",'Questions'!$H$26="WIZ2"),TEXT('Questions'!$F$26,"000")&amp;".mp4","")</f>
        <v/>
      </c>
    </row>
    <row r="55">
      <c r="A55" s="12">
        <f>IF(AND('Questions'!$B$27&lt;&gt;"",'Questions'!$G$27="WIZ2"),"Question text Q"&amp;'Questions'!$A$27,"")</f>
        <v/>
      </c>
      <c r="B55" s="12">
        <f>IF(AND('Questions'!$B$27&lt;&gt;"",'Questions'!$G$27="WIZ2"),"Q"&amp;'Questions'!$A$27,"")</f>
        <v/>
      </c>
      <c r="C55" s="12">
        <f>IF(AND('Questions'!$B$27&lt;&gt;"",'Questions'!$G$27="WIZ2"),'Questions'!$E$27,"")</f>
        <v/>
      </c>
      <c r="D55" s="20">
        <f>IF(AND('Questions'!$B$27&lt;&gt;"",'Questions'!$G$27="WIZ2"),'Questions'!$B$27&amp;" (question on "&amp;IF('Questions'!$C$27="Portrait","portrait","landscape")&amp;" screen)","")</f>
        <v/>
      </c>
      <c r="E55" s="12">
        <f>IF(AND('Questions'!$B$27&lt;&gt;"",'Questions'!$G$27="WIZ2"),'Questions'!$I$27,"")</f>
        <v/>
      </c>
      <c r="F55" s="12">
        <f>IF(AND('Questions'!$B$27&lt;&gt;"",'Questions'!$G$27="WIZ2"),TEXT(32*0+'Questions'!$E$27,"000")&amp;".mp4","")</f>
        <v/>
      </c>
      <c r="G55" s="12">
        <f>IF(AND('Questions'!$B$27&lt;&gt;"",'Questions'!$G$27="WIZ2"),TEXT(32*1+'Questions'!$E$27,"000")&amp;".mp4","")</f>
        <v/>
      </c>
      <c r="H55" s="12">
        <f>IF(AND('Questions'!$B$27&lt;&gt;"",'Questions'!$G$27="WIZ2"),TEXT(32*2+'Questions'!$E$27,"000")&amp;".mp4","")</f>
        <v/>
      </c>
      <c r="I55" s="12">
        <f>IF(AND('Questions'!$B$27&lt;&gt;"",'Questions'!$G$27="WIZ2"),TEXT(32*3+'Questions'!$E$27,"000")&amp;".mp4","")</f>
        <v/>
      </c>
    </row>
    <row r="56">
      <c r="A56" s="12">
        <f>IF(AND('Questions'!$B$27&lt;&gt;"",'Questions'!$H$27="WIZ2"),"Artwork Q"&amp;'Questions'!$A$27,"")</f>
        <v/>
      </c>
      <c r="B56" s="12">
        <f>IF(AND('Questions'!$B$27&lt;&gt;"",'Questions'!$H$27="WIZ2"),"Q"&amp;'Questions'!$A$27,"")</f>
        <v/>
      </c>
      <c r="C56" s="12">
        <f>IF(AND('Questions'!$B$27&lt;&gt;"",'Questions'!$H$27="WIZ2"),'Questions'!$F$27,"")</f>
        <v/>
      </c>
      <c r="D56" s="20">
        <f>IF(AND('Questions'!$B$27&lt;&gt;"",'Questions'!$H$27="WIZ2"),'Questions'!$B$27&amp;" (art on landscape screen)","")</f>
        <v/>
      </c>
      <c r="E56" s="12">
        <f>IF(AND('Questions'!$B$27&lt;&gt;"",'Questions'!$H$27="WIZ2"),'Questions'!$J$27,"")</f>
        <v/>
      </c>
      <c r="F56" s="12">
        <f>IF(AND('Questions'!$B$27&lt;&gt;"",'Questions'!$H$27="WIZ2"),TEXT('Questions'!$F$27,"000")&amp;".mp4","")</f>
        <v/>
      </c>
    </row>
  </sheetData>
  <sheetProtection selectLockedCells="0" selectUnlockedCells="0" sheet="1" objects="0" insertRows="1" insertHyperlinks="1" autoFilter="1" scenarios="0" formatColumns="1" deleteColumns="1" insertColumns="1" pivotTables="1" deleteRows="1" formatCells="1" formatRows="1" sort="1"/>
  <mergeCells count="2">
    <mergeCell ref="A1:I1"/>
    <mergeCell ref="A2:I2"/>
  </mergeCells>
  <pageMargins left="0.75" right="0.75" top="1" bottom="1" header="0.5" footer="0.5"/>
</worksheet>
</file>

<file path=xl/worksheets/sheet5.xml><?xml version="1.0" encoding="utf-8"?>
<worksheet xmlns="http://schemas.openxmlformats.org/spreadsheetml/2006/main">
  <sheetPr>
    <tabColor rgb="00BF8F00"/>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110" customWidth="1" min="1" max="1"/>
  </cols>
  <sheetData>
    <row r="1">
      <c r="A1" s="1" t="inlineStr">
        <is>
          <t>QuestionnaireConfig.h generator</t>
        </is>
      </c>
    </row>
    <row r="2">
      <c r="A2" s="4" t="inlineStr">
        <is>
          <t>Copy column A from BEGIN through END into QuestionnaireConfig.h. Lines pull live from Questions (scores, screen, step). Skip blank array lines. NUM_QUESTIONS = COUNTA(Artwork). Recalculate the sheet after edits (F9 in Excel).</t>
        </is>
      </c>
    </row>
    <row r="4">
      <c r="A4" s="21" t="inlineStr">
        <is>
          <t>// --- BEGIN_QUESTIONNAIRE_CONFIG ---</t>
        </is>
      </c>
    </row>
    <row r="5">
      <c r="A5" s="21">
        <f>"static const uint8_t NUM_QUESTIONS = "&amp;COUNTA(Questions!$B$4:$B$27)&amp;";"</f>
        <v/>
      </c>
    </row>
    <row r="6">
      <c r="A6" s="21">
        <f>"static const QuestionEntry QUESTIONS[NUM_QUESTIONS] = {"</f>
        <v/>
      </c>
    </row>
    <row r="7">
      <c r="A7" s="21">
        <f>'Questions'!$AC4</f>
        <v/>
      </c>
    </row>
    <row r="8">
      <c r="A8" s="21">
        <f>'Questions'!$AC5</f>
        <v/>
      </c>
    </row>
    <row r="9">
      <c r="A9" s="21">
        <f>'Questions'!$AC6</f>
        <v/>
      </c>
    </row>
    <row r="10">
      <c r="A10" s="21">
        <f>'Questions'!$AC7</f>
        <v/>
      </c>
    </row>
    <row r="11">
      <c r="A11" s="21">
        <f>'Questions'!$AC8</f>
        <v/>
      </c>
    </row>
    <row r="12">
      <c r="A12" s="21">
        <f>'Questions'!$AC9</f>
        <v/>
      </c>
    </row>
    <row r="13">
      <c r="A13" s="21">
        <f>'Questions'!$AC10</f>
        <v/>
      </c>
    </row>
    <row r="14">
      <c r="A14" s="21">
        <f>'Questions'!$AC11</f>
        <v/>
      </c>
    </row>
    <row r="15">
      <c r="A15" s="21">
        <f>'Questions'!$AC12</f>
        <v/>
      </c>
    </row>
    <row r="16">
      <c r="A16" s="21">
        <f>'Questions'!$AC13</f>
        <v/>
      </c>
    </row>
    <row r="17">
      <c r="A17" s="21">
        <f>'Questions'!$AC14</f>
        <v/>
      </c>
    </row>
    <row r="18">
      <c r="A18" s="21">
        <f>'Questions'!$AC15</f>
        <v/>
      </c>
    </row>
    <row r="19">
      <c r="A19" s="21">
        <f>'Questions'!$AC16</f>
        <v/>
      </c>
    </row>
    <row r="20">
      <c r="A20" s="21">
        <f>'Questions'!$AC17</f>
        <v/>
      </c>
    </row>
    <row r="21">
      <c r="A21" s="21">
        <f>'Questions'!$AC18</f>
        <v/>
      </c>
    </row>
    <row r="22">
      <c r="A22" s="21">
        <f>'Questions'!$AC19</f>
        <v/>
      </c>
    </row>
    <row r="23">
      <c r="A23" s="21">
        <f>'Questions'!$AC20</f>
        <v/>
      </c>
    </row>
    <row r="24">
      <c r="A24" s="21">
        <f>'Questions'!$AC21</f>
        <v/>
      </c>
    </row>
    <row r="25">
      <c r="A25" s="21">
        <f>'Questions'!$AC22</f>
        <v/>
      </c>
    </row>
    <row r="26">
      <c r="A26" s="21">
        <f>'Questions'!$AC23</f>
        <v/>
      </c>
    </row>
    <row r="27">
      <c r="A27" s="21">
        <f>'Questions'!$AC24</f>
        <v/>
      </c>
    </row>
    <row r="28">
      <c r="A28" s="21">
        <f>'Questions'!$AC25</f>
        <v/>
      </c>
    </row>
    <row r="29">
      <c r="A29" s="21">
        <f>'Questions'!$AC26</f>
        <v/>
      </c>
    </row>
    <row r="30">
      <c r="A30" s="21">
        <f>'Questions'!$AC27</f>
        <v/>
      </c>
    </row>
    <row r="31">
      <c r="A31" s="21">
        <f>"};"</f>
        <v/>
      </c>
    </row>
    <row r="32">
      <c r="A32" s="21" t="inlineStr">
        <is>
          <t>// --- END_QUESTIONNAIRE_CONFIG ---</t>
        </is>
      </c>
    </row>
    <row r="33">
      <c r="A33" s="21" t="inlineStr">
        <is>
          <t>NUM_QUESTIONS = count of rows with Artwork on Questions sheet. SD indices: text and artwork share the same step number on each card (0 = idle). Text filenames use language blocks on the text player only.</t>
        </is>
      </c>
    </row>
  </sheetData>
  <sheetProtection selectLockedCells="0" selectUnlockedCells="0" sheet="1" objects="0" insertRows="1" insertHyperlinks="1" autoFilter="1" scenarios="0" formatColumns="1" deleteColumns="1" insertColumns="1" pivotTables="1" deleteRows="1" formatCells="1" formatRows="1" sort="1"/>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2026-06-08T14:01:02Z</dcterms:created>
  <dcterms:modified xmlns:dcterms="http://purl.org/dc/terms/" xmlns:xsi="http://www.w3.org/2001/XMLSchema-instance" xsi:type="dcterms:W3CDTF">2026-06-08T14:01:02Z</dcterms:modified>
</cp:coreProperties>
</file>